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hidePivotFieldList="1" defaultThemeVersion="166925"/>
  <xr:revisionPtr revIDLastSave="0" documentId="8_{1CC60366-9DB1-44A4-A842-93119BC44E27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Raw_Data" sheetId="1" r:id="rId1"/>
    <sheet name="Clean_Data" sheetId="2" r:id="rId2"/>
    <sheet name="Business_Insights" sheetId="3" r:id="rId3"/>
    <sheet name="Dashboard" sheetId="4" r:id="rId4"/>
  </sheets>
  <externalReferences>
    <externalReference r:id="rId5"/>
  </externalReferences>
  <calcPr calcId="191028"/>
  <pivotCaches>
    <pivotCache cacheId="86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2" i="2"/>
  <c r="C2" i="4"/>
  <c r="A2" i="4"/>
  <c r="B2" i="4"/>
  <c r="P9" i="2"/>
  <c r="P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M2" i="2"/>
  <c r="L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2" i="2"/>
</calcChain>
</file>

<file path=xl/sharedStrings.xml><?xml version="1.0" encoding="utf-8"?>
<sst xmlns="http://schemas.openxmlformats.org/spreadsheetml/2006/main" count="272" uniqueCount="92">
  <si>
    <t>Employee ID</t>
  </si>
  <si>
    <t>Employee Name</t>
  </si>
  <si>
    <t>Gender</t>
  </si>
  <si>
    <t>Department</t>
  </si>
  <si>
    <t>Region</t>
  </si>
  <si>
    <t>Experience (Years)</t>
  </si>
  <si>
    <t>Hours Worked</t>
  </si>
  <si>
    <t>Hourly Rate</t>
  </si>
  <si>
    <t>Sales</t>
  </si>
  <si>
    <t>Performance Score</t>
  </si>
  <si>
    <t>Samuel Wambui</t>
  </si>
  <si>
    <t>Male</t>
  </si>
  <si>
    <t>IT</t>
  </si>
  <si>
    <t>Nairobi</t>
  </si>
  <si>
    <t>Leonard Karanja</t>
  </si>
  <si>
    <t>Ryan Nyambura</t>
  </si>
  <si>
    <t>Marketing</t>
  </si>
  <si>
    <t>Mombasa</t>
  </si>
  <si>
    <t>John Mwangi</t>
  </si>
  <si>
    <t>Brian Moindi</t>
  </si>
  <si>
    <t>Finance</t>
  </si>
  <si>
    <t>Eldoret</t>
  </si>
  <si>
    <t>Joymary Wangare</t>
  </si>
  <si>
    <t>Female</t>
  </si>
  <si>
    <t>HR</t>
  </si>
  <si>
    <t>Nakuru</t>
  </si>
  <si>
    <t>James Njuguna</t>
  </si>
  <si>
    <t>Kisumu</t>
  </si>
  <si>
    <t>Charles Karanu</t>
  </si>
  <si>
    <t>David Kimani</t>
  </si>
  <si>
    <t>Lucy Wanjiku</t>
  </si>
  <si>
    <t>Kevin Kiptoo</t>
  </si>
  <si>
    <t>Susan Achieng</t>
  </si>
  <si>
    <t>George Mutua</t>
  </si>
  <si>
    <t>Ann Njeri</t>
  </si>
  <si>
    <t>Paul Mwangi</t>
  </si>
  <si>
    <t>Esther Wanjiru</t>
  </si>
  <si>
    <t>Alex Kiptoo</t>
  </si>
  <si>
    <t>Ruth Chebet</t>
  </si>
  <si>
    <t>Mark Otieno</t>
  </si>
  <si>
    <t>Nancy Njeri</t>
  </si>
  <si>
    <t>Eric Mwangi</t>
  </si>
  <si>
    <t>Faith Chebet</t>
  </si>
  <si>
    <t>Victor Mwangi</t>
  </si>
  <si>
    <t>Cynthia Njeri</t>
  </si>
  <si>
    <t>Isaac Kirui</t>
  </si>
  <si>
    <t>Lilian Atieno</t>
  </si>
  <si>
    <t>Oscar Mutiso</t>
  </si>
  <si>
    <t>Henry Mwangi</t>
  </si>
  <si>
    <t>Diana Chebet</t>
  </si>
  <si>
    <t>Martin Kiptoo</t>
  </si>
  <si>
    <t>Brenda Wanjiru</t>
  </si>
  <si>
    <t>Charles Mutua</t>
  </si>
  <si>
    <t>Edith Njeri</t>
  </si>
  <si>
    <t>Kelvin Kirui</t>
  </si>
  <si>
    <t>Purity Atieno</t>
  </si>
  <si>
    <t>Dan Mwangi</t>
  </si>
  <si>
    <t>Samson Mutiso</t>
  </si>
  <si>
    <t>Rachel Chebet</t>
  </si>
  <si>
    <t>Allan Kiptoo</t>
  </si>
  <si>
    <t>Ivy Wanjiru</t>
  </si>
  <si>
    <t>Brian Mwangi</t>
  </si>
  <si>
    <t>Joyce Njeri</t>
  </si>
  <si>
    <t>Moses Kirui</t>
  </si>
  <si>
    <t>Luke Atieno</t>
  </si>
  <si>
    <t>Frank Mutiso</t>
  </si>
  <si>
    <t>Daniel Mwangi</t>
  </si>
  <si>
    <t>Grace Wairimu</t>
  </si>
  <si>
    <t>Peter Otieno</t>
  </si>
  <si>
    <t>Caroline Njeri</t>
  </si>
  <si>
    <t>Benson Kiptoo</t>
  </si>
  <si>
    <t>Salary</t>
  </si>
  <si>
    <t>Bonus</t>
  </si>
  <si>
    <t>Performance category</t>
  </si>
  <si>
    <t>Allowance</t>
  </si>
  <si>
    <t>SALES</t>
  </si>
  <si>
    <t>MARKETING</t>
  </si>
  <si>
    <t>FINANCE</t>
  </si>
  <si>
    <t>Sum of Sales</t>
  </si>
  <si>
    <t>Sum of Performance Score</t>
  </si>
  <si>
    <t>(Multiple Items)</t>
  </si>
  <si>
    <t>Grand Total</t>
  </si>
  <si>
    <t>Female Total</t>
  </si>
  <si>
    <t>Male Total</t>
  </si>
  <si>
    <t>Count of Employee Name</t>
  </si>
  <si>
    <t>Average</t>
  </si>
  <si>
    <t>Excellent</t>
  </si>
  <si>
    <t>Good</t>
  </si>
  <si>
    <t>(blank)</t>
  </si>
  <si>
    <t>Total Sales</t>
  </si>
  <si>
    <t>Total Profit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</si>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</sst>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textRotation="45" wrapText="1"/>
    </xf>
    <xf numFmtId="0" fontId="1" fillId="0" borderId="0" xfId="0" applyFont="1" applyAlignment="1">
      <alignment textRotation="45"/>
    </xf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3" fillId="0" borderId="1" xfId="0" applyFont="1" applyBorder="1" applyAlignment="1">
      <alignment horizontal="left" vertical="center" textRotation="45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&amp; Salary Analysis.xlsx]Business_Insights!PivotTable1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Business_Insights!$C$1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Business_Insights!$A$2:$B$12</c:f>
              <c:multiLvlStrCache>
                <c:ptCount val="8"/>
                <c:lvl>
                  <c:pt idx="0">
                    <c:v>FINANCE</c:v>
                  </c:pt>
                  <c:pt idx="1">
                    <c:v>HR</c:v>
                  </c:pt>
                  <c:pt idx="2">
                    <c:v>MARKETING</c:v>
                  </c:pt>
                  <c:pt idx="3">
                    <c:v>SALES</c:v>
                  </c:pt>
                  <c:pt idx="4">
                    <c:v>FINANCE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SALES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Business_Insights!$C$2:$C$12</c:f>
              <c:numCache>
                <c:formatCode>General</c:formatCode>
                <c:ptCount val="8"/>
                <c:pt idx="0">
                  <c:v>284500</c:v>
                </c:pt>
                <c:pt idx="1">
                  <c:v>0</c:v>
                </c:pt>
                <c:pt idx="2">
                  <c:v>467000</c:v>
                </c:pt>
                <c:pt idx="3">
                  <c:v>226000</c:v>
                </c:pt>
                <c:pt idx="4">
                  <c:v>371000</c:v>
                </c:pt>
                <c:pt idx="5">
                  <c:v>2068000</c:v>
                </c:pt>
                <c:pt idx="6">
                  <c:v>567000</c:v>
                </c:pt>
                <c:pt idx="7">
                  <c:v>918000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D-4DF3-B9D8-0B5894F07E9B}"/>
            </c:ext>
          </c:extLst>
        </c:ser>
        <c:ser>
          <c:idx val="1"/>
          <c:order val="1"/>
          <c:tx>
            <c:strRef>
              <c:f>Business_Insights!$D$1</c:f>
              <c:strCache>
                <c:ptCount val="1"/>
                <c:pt idx="0">
                  <c:v>Sum of Performance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Business_Insights!$A$2:$B$12</c:f>
              <c:multiLvlStrCache>
                <c:ptCount val="8"/>
                <c:lvl>
                  <c:pt idx="0">
                    <c:v>FINANCE</c:v>
                  </c:pt>
                  <c:pt idx="1">
                    <c:v>HR</c:v>
                  </c:pt>
                  <c:pt idx="2">
                    <c:v>MARKETING</c:v>
                  </c:pt>
                  <c:pt idx="3">
                    <c:v>SALES</c:v>
                  </c:pt>
                  <c:pt idx="4">
                    <c:v>FINANCE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SALES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Business_Insights!$D$2:$D$12</c:f>
              <c:numCache>
                <c:formatCode>General</c:formatCode>
                <c:ptCount val="8"/>
                <c:pt idx="0">
                  <c:v>317</c:v>
                </c:pt>
                <c:pt idx="1">
                  <c:v>512</c:v>
                </c:pt>
                <c:pt idx="2">
                  <c:v>408</c:v>
                </c:pt>
                <c:pt idx="3">
                  <c:v>158</c:v>
                </c:pt>
                <c:pt idx="4">
                  <c:v>417</c:v>
                </c:pt>
                <c:pt idx="5">
                  <c:v>1116</c:v>
                </c:pt>
                <c:pt idx="6">
                  <c:v>494</c:v>
                </c:pt>
                <c:pt idx="7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D-4DF3-B9D8-0B5894F07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9187592"/>
        <c:axId val="407571976"/>
      </c:barChart>
      <c:catAx>
        <c:axId val="34918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71976"/>
        <c:crosses val="autoZero"/>
        <c:auto val="1"/>
        <c:lblAlgn val="ctr"/>
        <c:lblOffset val="100"/>
        <c:noMultiLvlLbl val="0"/>
      </c:catAx>
      <c:valAx>
        <c:axId val="40757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8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&amp; Salary Analysis.xlsx]Business_Insights!PivotTable2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Business_Insights!$H$3:$H$4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00-4501-A8D3-F5A6C0190E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00-4501-A8D3-F5A6C0190E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00-4501-A8D3-F5A6C0190E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00-4501-A8D3-F5A6C0190E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00-4501-A8D3-F5A6C0190E5A}"/>
              </c:ext>
            </c:extLst>
          </c:dPt>
          <c:cat>
            <c:strRef>
              <c:f>Business_Insights!$G$5:$G$10</c:f>
              <c:strCache>
                <c:ptCount val="5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</c:strCache>
            </c:strRef>
          </c:cat>
          <c:val>
            <c:numRef>
              <c:f>Business_Insights!$H$5:$H$10</c:f>
              <c:numCache>
                <c:formatCode>General</c:formatCode>
                <c:ptCount val="5"/>
                <c:pt idx="0">
                  <c:v>284500</c:v>
                </c:pt>
                <c:pt idx="1">
                  <c:v>226000</c:v>
                </c:pt>
                <c:pt idx="2">
                  <c:v>467000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00-4501-A8D3-F5A6C0190E5A}"/>
            </c:ext>
          </c:extLst>
        </c:ser>
        <c:ser>
          <c:idx val="1"/>
          <c:order val="1"/>
          <c:tx>
            <c:strRef>
              <c:f>Business_Insights!$I$3:$I$4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D00-4501-A8D3-F5A6C0190E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D00-4501-A8D3-F5A6C0190E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D00-4501-A8D3-F5A6C0190E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D00-4501-A8D3-F5A6C0190E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D00-4501-A8D3-F5A6C0190E5A}"/>
              </c:ext>
            </c:extLst>
          </c:dPt>
          <c:cat>
            <c:strRef>
              <c:f>Business_Insights!$G$5:$G$10</c:f>
              <c:strCache>
                <c:ptCount val="5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</c:strCache>
            </c:strRef>
          </c:cat>
          <c:val>
            <c:numRef>
              <c:f>Business_Insights!$I$5:$I$10</c:f>
              <c:numCache>
                <c:formatCode>General</c:formatCode>
                <c:ptCount val="5"/>
                <c:pt idx="0">
                  <c:v>371000</c:v>
                </c:pt>
                <c:pt idx="1">
                  <c:v>788000</c:v>
                </c:pt>
                <c:pt idx="2">
                  <c:v>567000</c:v>
                </c:pt>
                <c:pt idx="3">
                  <c:v>2198000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D00-4501-A8D3-F5A6C019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495300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7168A-2BA9-4A44-BE36-58C224EA7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4B08B1-4F74-465C-8468-2B76A21AD18C}"/>
            </a:ext>
            <a:ext uri="{147F2762-F138-4A5C-976F-8EAC2B608ADB}">
              <a16:predDERef xmlns:a16="http://schemas.microsoft.com/office/drawing/2014/main" pred="{0E87168A-2BA9-4A44-BE36-58C224EA7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e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ean_Data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976010648148" createdVersion="8" refreshedVersion="8" minRefreshableVersion="3" recordCount="51" xr:uid="{2006EAD4-80C8-4BB7-8C11-151660F4FE47}">
  <cacheSource type="worksheet">
    <worksheetSource ref="A1:Q1048576" sheet="Clean_Data"/>
  </cacheSource>
  <cacheFields count="17">
    <cacheField name="Employee ID" numFmtId="0">
      <sharedItems containsString="0" containsBlank="1" containsNumber="1" containsInteger="1" minValue="1" maxValue="50"/>
    </cacheField>
    <cacheField name="Employee 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Department" numFmtId="0">
      <sharedItems containsBlank="1" count="6">
        <s v="IT"/>
        <s v="SALES"/>
        <s v="MARKETING"/>
        <s v="FINANCE"/>
        <s v="HR"/>
        <m/>
      </sharedItems>
    </cacheField>
    <cacheField name="Region" numFmtId="0">
      <sharedItems containsBlank="1" count="6">
        <s v="Nairobi"/>
        <s v="Mombasa"/>
        <s v="Eldoret"/>
        <s v="Nakuru"/>
        <s v="Kisumu"/>
        <m/>
      </sharedItems>
    </cacheField>
    <cacheField name="Experience (Years)" numFmtId="0">
      <sharedItems containsString="0" containsBlank="1" containsNumber="1" containsInteger="1" minValue="2" maxValue="8"/>
    </cacheField>
    <cacheField name="Hours Worked" numFmtId="0">
      <sharedItems containsString="0" containsBlank="1" containsNumber="1" containsInteger="1" minValue="34" maxValue="50"/>
    </cacheField>
    <cacheField name="Hourly Rate" numFmtId="0">
      <sharedItems containsString="0" containsBlank="1" containsNumber="1" containsInteger="1" minValue="345" maxValue="740"/>
    </cacheField>
    <cacheField name="Sales" numFmtId="0">
      <sharedItems containsString="0" containsBlank="1" containsNumber="1" containsInteger="1" minValue="0" maxValue="185000"/>
    </cacheField>
    <cacheField name="Performance Score" numFmtId="0">
      <sharedItems containsString="0" containsBlank="1" containsNumber="1" containsInteger="1" minValue="60" maxValue="97"/>
    </cacheField>
    <cacheField name="Salary" numFmtId="0">
      <sharedItems containsString="0" containsBlank="1" containsNumber="1" containsInteger="1" minValue="11730" maxValue="37000"/>
    </cacheField>
    <cacheField name="Bonus" numFmtId="0">
      <sharedItems containsString="0" containsBlank="1" containsNumber="1" containsInteger="1" minValue="2000" maxValue="10000"/>
    </cacheField>
    <cacheField name="Performance category" numFmtId="0">
      <sharedItems containsBlank="1" count="4">
        <s v="Good"/>
        <s v="Average"/>
        <s v="Excellent"/>
        <m/>
      </sharedItems>
    </cacheField>
    <cacheField name="Allowance" numFmtId="0">
      <sharedItems containsBlank="1" containsMixedTypes="1" containsNumber="1" containsInteger="1" minValue="4000" maxValue="8000"/>
    </cacheField>
    <cacheField name="Field15" caption="Field15" numFmtId="0">
      <sharedItems containsNonDate="0" containsString="0" containsBlank="1"/>
    </cacheField>
    <cacheField name="Department2" numFmtId="0">
      <sharedItems containsBlank="1" containsMixedTypes="1" containsNumber="1" containsInteger="1" minValue="2" maxValue="3"/>
    </cacheField>
    <cacheField name="Allowance2" numFmtId="0">
      <sharedItems containsString="0" containsBlank="1" containsNumber="1" containsInteger="1" minValue="20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s v="Samuel Wambui"/>
    <x v="0"/>
    <x v="0"/>
    <x v="0"/>
    <n v="5"/>
    <n v="45"/>
    <n v="650"/>
    <n v="160000"/>
    <n v="88"/>
    <n v="29250"/>
    <n v="5000"/>
    <x v="0"/>
    <n v="8000"/>
    <m/>
    <s v="IT"/>
    <n v="8000"/>
  </r>
  <r>
    <n v="2"/>
    <s v="Leonard Karanja"/>
    <x v="0"/>
    <x v="1"/>
    <x v="0"/>
    <n v="4"/>
    <n v="42"/>
    <n v="500"/>
    <n v="130000"/>
    <n v="80"/>
    <n v="21000"/>
    <n v="2000"/>
    <x v="1"/>
    <n v="5000"/>
    <m/>
    <s v="SALES"/>
    <n v="5000"/>
  </r>
  <r>
    <n v="3"/>
    <s v="Ryan Nyambura"/>
    <x v="0"/>
    <x v="2"/>
    <x v="1"/>
    <n v="3"/>
    <n v="40"/>
    <n v="420"/>
    <n v="90000"/>
    <n v="75"/>
    <n v="16800"/>
    <n v="2000"/>
    <x v="1"/>
    <n v="4000"/>
    <m/>
    <s v="MARKETING"/>
    <n v="4000"/>
  </r>
  <r>
    <n v="4"/>
    <s v="John Mwangi"/>
    <x v="0"/>
    <x v="0"/>
    <x v="0"/>
    <n v="6"/>
    <n v="46"/>
    <n v="700"/>
    <n v="170000"/>
    <n v="92"/>
    <n v="32200"/>
    <n v="10000"/>
    <x v="2"/>
    <e v="#N/A"/>
    <m/>
    <s v="FINANCE"/>
    <n v="3500"/>
  </r>
  <r>
    <n v="5"/>
    <s v="Brian Moindi"/>
    <x v="0"/>
    <x v="3"/>
    <x v="2"/>
    <n v="5"/>
    <n v="41"/>
    <n v="550"/>
    <n v="70000"/>
    <n v="78"/>
    <n v="22550"/>
    <n v="2000"/>
    <x v="1"/>
    <e v="#N/A"/>
    <m/>
    <s v="HR"/>
    <n v="2000"/>
  </r>
  <r>
    <n v="6"/>
    <s v="Joymary Wangare"/>
    <x v="1"/>
    <x v="4"/>
    <x v="3"/>
    <n v="2"/>
    <n v="36"/>
    <n v="350"/>
    <n v="0"/>
    <n v="65"/>
    <n v="12600"/>
    <n v="2000"/>
    <x v="1"/>
    <e v="#N/A"/>
    <m/>
    <m/>
    <m/>
  </r>
  <r>
    <n v="7"/>
    <s v="James Njuguna"/>
    <x v="0"/>
    <x v="1"/>
    <x v="4"/>
    <n v="4"/>
    <n v="43"/>
    <n v="510"/>
    <n v="120000"/>
    <n v="82"/>
    <n v="21930"/>
    <n v="5000"/>
    <x v="0"/>
    <e v="#N/A"/>
    <m/>
    <n v="2"/>
    <m/>
  </r>
  <r>
    <n v="8"/>
    <s v="Charles Karanu"/>
    <x v="0"/>
    <x v="0"/>
    <x v="0"/>
    <n v="7"/>
    <n v="48"/>
    <n v="720"/>
    <n v="175000"/>
    <n v="95"/>
    <n v="34560"/>
    <n v="10000"/>
    <x v="2"/>
    <e v="#N/A"/>
    <m/>
    <n v="3"/>
    <m/>
  </r>
  <r>
    <n v="9"/>
    <s v="David Kimani"/>
    <x v="0"/>
    <x v="3"/>
    <x v="2"/>
    <n v="6"/>
    <n v="42"/>
    <n v="560"/>
    <n v="75000"/>
    <n v="85"/>
    <n v="23520"/>
    <n v="5000"/>
    <x v="0"/>
    <e v="#N/A"/>
    <m/>
    <m/>
    <m/>
  </r>
  <r>
    <n v="10"/>
    <s v="Lucy Wanjiku"/>
    <x v="1"/>
    <x v="4"/>
    <x v="3"/>
    <n v="3"/>
    <n v="37"/>
    <n v="360"/>
    <n v="0"/>
    <n v="68"/>
    <n v="13320"/>
    <n v="2000"/>
    <x v="1"/>
    <e v="#N/A"/>
    <m/>
    <m/>
    <m/>
  </r>
  <r>
    <n v="11"/>
    <s v="Kevin Kiptoo"/>
    <x v="0"/>
    <x v="1"/>
    <x v="4"/>
    <n v="4"/>
    <n v="41"/>
    <n v="500"/>
    <n v="115000"/>
    <n v="79"/>
    <n v="20500"/>
    <n v="2000"/>
    <x v="1"/>
    <e v="#N/A"/>
    <m/>
    <m/>
    <m/>
  </r>
  <r>
    <n v="12"/>
    <s v="Susan Achieng"/>
    <x v="1"/>
    <x v="2"/>
    <x v="1"/>
    <n v="5"/>
    <n v="44"/>
    <n v="430"/>
    <n v="95000"/>
    <n v="83"/>
    <n v="18920"/>
    <n v="5000"/>
    <x v="0"/>
    <e v="#N/A"/>
    <m/>
    <m/>
    <m/>
  </r>
  <r>
    <n v="13"/>
    <s v="George Mutua"/>
    <x v="0"/>
    <x v="0"/>
    <x v="0"/>
    <n v="6"/>
    <n v="47"/>
    <n v="710"/>
    <n v="165000"/>
    <n v="90"/>
    <n v="33370"/>
    <n v="5000"/>
    <x v="0"/>
    <e v="#N/A"/>
    <m/>
    <m/>
    <m/>
  </r>
  <r>
    <n v="14"/>
    <s v="Ann Njeri"/>
    <x v="1"/>
    <x v="4"/>
    <x v="3"/>
    <n v="2"/>
    <n v="35"/>
    <n v="350"/>
    <n v="0"/>
    <n v="60"/>
    <n v="12250"/>
    <n v="2000"/>
    <x v="1"/>
    <e v="#N/A"/>
    <m/>
    <m/>
    <m/>
  </r>
  <r>
    <n v="15"/>
    <s v="Paul Mwangi"/>
    <x v="0"/>
    <x v="0"/>
    <x v="0"/>
    <n v="7"/>
    <n v="49"/>
    <n v="730"/>
    <n v="180000"/>
    <n v="96"/>
    <n v="35770"/>
    <n v="10000"/>
    <x v="2"/>
    <e v="#N/A"/>
    <m/>
    <m/>
    <m/>
  </r>
  <r>
    <n v="16"/>
    <s v="Esther Wanjiru"/>
    <x v="1"/>
    <x v="3"/>
    <x v="2"/>
    <n v="5"/>
    <n v="40"/>
    <n v="540"/>
    <n v="72000"/>
    <n v="80"/>
    <n v="21600"/>
    <n v="2000"/>
    <x v="1"/>
    <e v="#N/A"/>
    <m/>
    <m/>
    <m/>
  </r>
  <r>
    <n v="17"/>
    <s v="Alex Kiptoo"/>
    <x v="0"/>
    <x v="1"/>
    <x v="4"/>
    <n v="3"/>
    <n v="39"/>
    <n v="495"/>
    <n v="110000"/>
    <n v="77"/>
    <n v="19305"/>
    <n v="2000"/>
    <x v="1"/>
    <e v="#N/A"/>
    <m/>
    <m/>
    <m/>
  </r>
  <r>
    <n v="18"/>
    <s v="Ruth Chebet"/>
    <x v="1"/>
    <x v="2"/>
    <x v="1"/>
    <n v="4"/>
    <n v="42"/>
    <n v="425"/>
    <n v="92000"/>
    <n v="81"/>
    <n v="17850"/>
    <n v="5000"/>
    <x v="0"/>
    <e v="#N/A"/>
    <m/>
    <m/>
    <m/>
  </r>
  <r>
    <n v="19"/>
    <s v="Mark Otieno"/>
    <x v="0"/>
    <x v="2"/>
    <x v="1"/>
    <n v="5"/>
    <n v="45"/>
    <n v="430"/>
    <n v="97000"/>
    <n v="84"/>
    <n v="19350"/>
    <n v="5000"/>
    <x v="0"/>
    <e v="#N/A"/>
    <m/>
    <m/>
    <m/>
  </r>
  <r>
    <n v="20"/>
    <s v="Nancy Njeri"/>
    <x v="1"/>
    <x v="4"/>
    <x v="3"/>
    <n v="3"/>
    <n v="36"/>
    <n v="355"/>
    <n v="0"/>
    <n v="66"/>
    <n v="12780"/>
    <n v="2000"/>
    <x v="1"/>
    <e v="#N/A"/>
    <m/>
    <m/>
    <m/>
  </r>
  <r>
    <n v="21"/>
    <s v="Eric Mwangi"/>
    <x v="0"/>
    <x v="0"/>
    <x v="0"/>
    <n v="8"/>
    <n v="50"/>
    <n v="740"/>
    <n v="185000"/>
    <n v="97"/>
    <n v="37000"/>
    <n v="10000"/>
    <x v="2"/>
    <e v="#N/A"/>
    <m/>
    <m/>
    <m/>
  </r>
  <r>
    <n v="22"/>
    <s v="Faith Chebet"/>
    <x v="1"/>
    <x v="2"/>
    <x v="1"/>
    <n v="4"/>
    <n v="41"/>
    <n v="420"/>
    <n v="91000"/>
    <n v="79"/>
    <n v="17220"/>
    <n v="2000"/>
    <x v="1"/>
    <e v="#N/A"/>
    <m/>
    <m/>
    <m/>
  </r>
  <r>
    <n v="23"/>
    <s v="Victor Mwangi"/>
    <x v="0"/>
    <x v="0"/>
    <x v="0"/>
    <n v="6"/>
    <n v="46"/>
    <n v="705"/>
    <n v="168000"/>
    <n v="91"/>
    <n v="32430"/>
    <n v="10000"/>
    <x v="2"/>
    <e v="#N/A"/>
    <m/>
    <m/>
    <m/>
  </r>
  <r>
    <n v="24"/>
    <s v="Cynthia Njeri"/>
    <x v="1"/>
    <x v="4"/>
    <x v="3"/>
    <n v="2"/>
    <n v="34"/>
    <n v="345"/>
    <n v="0"/>
    <n v="62"/>
    <n v="11730"/>
    <n v="2000"/>
    <x v="1"/>
    <e v="#N/A"/>
    <m/>
    <m/>
    <m/>
  </r>
  <r>
    <n v="25"/>
    <s v="Isaac Kirui"/>
    <x v="0"/>
    <x v="3"/>
    <x v="2"/>
    <n v="5"/>
    <n v="43"/>
    <n v="560"/>
    <n v="76000"/>
    <n v="86"/>
    <n v="24080"/>
    <n v="5000"/>
    <x v="0"/>
    <e v="#N/A"/>
    <m/>
    <m/>
    <m/>
  </r>
  <r>
    <n v="26"/>
    <s v="Lilian Atieno"/>
    <x v="1"/>
    <x v="1"/>
    <x v="4"/>
    <n v="4"/>
    <n v="40"/>
    <n v="500"/>
    <n v="112000"/>
    <n v="78"/>
    <n v="20000"/>
    <n v="2000"/>
    <x v="1"/>
    <e v="#N/A"/>
    <m/>
    <m/>
    <m/>
  </r>
  <r>
    <n v="27"/>
    <s v="Oscar Mutiso"/>
    <x v="0"/>
    <x v="2"/>
    <x v="1"/>
    <n v="5"/>
    <n v="44"/>
    <n v="435"/>
    <n v="94000"/>
    <n v="82"/>
    <n v="19140"/>
    <n v="5000"/>
    <x v="0"/>
    <e v="#N/A"/>
    <m/>
    <m/>
    <m/>
  </r>
  <r>
    <n v="28"/>
    <s v="Henry Mwangi"/>
    <x v="0"/>
    <x v="0"/>
    <x v="0"/>
    <n v="7"/>
    <n v="48"/>
    <n v="720"/>
    <n v="176000"/>
    <n v="95"/>
    <n v="34560"/>
    <n v="10000"/>
    <x v="2"/>
    <e v="#N/A"/>
    <m/>
    <m/>
    <m/>
  </r>
  <r>
    <n v="29"/>
    <s v="Diana Chebet"/>
    <x v="1"/>
    <x v="3"/>
    <x v="2"/>
    <n v="4"/>
    <n v="39"/>
    <n v="545"/>
    <n v="71000"/>
    <n v="79"/>
    <n v="21255"/>
    <n v="2000"/>
    <x v="1"/>
    <e v="#N/A"/>
    <m/>
    <m/>
    <m/>
  </r>
  <r>
    <n v="30"/>
    <s v="Martin Kiptoo"/>
    <x v="0"/>
    <x v="1"/>
    <x v="4"/>
    <n v="3"/>
    <n v="38"/>
    <n v="490"/>
    <n v="108000"/>
    <n v="76"/>
    <n v="18620"/>
    <n v="2000"/>
    <x v="1"/>
    <e v="#N/A"/>
    <m/>
    <m/>
    <m/>
  </r>
  <r>
    <n v="31"/>
    <s v="Brenda Wanjiru"/>
    <x v="1"/>
    <x v="2"/>
    <x v="1"/>
    <n v="5"/>
    <n v="43"/>
    <n v="430"/>
    <n v="96000"/>
    <n v="84"/>
    <n v="18490"/>
    <n v="5000"/>
    <x v="0"/>
    <e v="#N/A"/>
    <m/>
    <m/>
    <m/>
  </r>
  <r>
    <n v="32"/>
    <s v="Charles Mutua"/>
    <x v="0"/>
    <x v="0"/>
    <x v="0"/>
    <n v="6"/>
    <n v="47"/>
    <n v="710"/>
    <n v="169000"/>
    <n v="92"/>
    <n v="33370"/>
    <n v="10000"/>
    <x v="2"/>
    <e v="#N/A"/>
    <m/>
    <m/>
    <m/>
  </r>
  <r>
    <n v="33"/>
    <s v="Edith Njeri"/>
    <x v="1"/>
    <x v="4"/>
    <x v="3"/>
    <n v="2"/>
    <n v="35"/>
    <n v="350"/>
    <n v="0"/>
    <n v="61"/>
    <n v="12250"/>
    <n v="2000"/>
    <x v="1"/>
    <e v="#N/A"/>
    <m/>
    <m/>
    <m/>
  </r>
  <r>
    <n v="34"/>
    <s v="Kelvin Kirui"/>
    <x v="0"/>
    <x v="3"/>
    <x v="2"/>
    <n v="5"/>
    <n v="42"/>
    <n v="555"/>
    <n v="74000"/>
    <n v="83"/>
    <n v="23310"/>
    <n v="5000"/>
    <x v="0"/>
    <e v="#N/A"/>
    <m/>
    <m/>
    <m/>
  </r>
  <r>
    <n v="35"/>
    <s v="Purity Atieno"/>
    <x v="1"/>
    <x v="1"/>
    <x v="4"/>
    <n v="4"/>
    <n v="40"/>
    <n v="500"/>
    <n v="114000"/>
    <n v="80"/>
    <n v="20000"/>
    <n v="2000"/>
    <x v="1"/>
    <e v="#N/A"/>
    <m/>
    <m/>
    <m/>
  </r>
  <r>
    <n v="36"/>
    <s v="Dan Mwangi"/>
    <x v="0"/>
    <x v="2"/>
    <x v="1"/>
    <n v="5"/>
    <n v="44"/>
    <n v="435"/>
    <n v="95000"/>
    <n v="85"/>
    <n v="19140"/>
    <n v="5000"/>
    <x v="0"/>
    <e v="#N/A"/>
    <m/>
    <m/>
    <m/>
  </r>
  <r>
    <n v="37"/>
    <s v="Samson Mutiso"/>
    <x v="0"/>
    <x v="0"/>
    <x v="0"/>
    <n v="7"/>
    <n v="48"/>
    <n v="725"/>
    <n v="178000"/>
    <n v="96"/>
    <n v="34800"/>
    <n v="10000"/>
    <x v="2"/>
    <e v="#N/A"/>
    <m/>
    <m/>
    <m/>
  </r>
  <r>
    <n v="38"/>
    <s v="Rachel Chebet"/>
    <x v="1"/>
    <x v="3"/>
    <x v="2"/>
    <n v="4"/>
    <n v="39"/>
    <n v="540"/>
    <n v="70500"/>
    <n v="78"/>
    <n v="21060"/>
    <n v="2000"/>
    <x v="1"/>
    <e v="#N/A"/>
    <m/>
    <m/>
    <m/>
  </r>
  <r>
    <n v="39"/>
    <s v="Allan Kiptoo"/>
    <x v="0"/>
    <x v="1"/>
    <x v="4"/>
    <n v="3"/>
    <n v="38"/>
    <n v="495"/>
    <n v="109000"/>
    <n v="77"/>
    <n v="18810"/>
    <n v="2000"/>
    <x v="1"/>
    <e v="#N/A"/>
    <m/>
    <m/>
    <m/>
  </r>
  <r>
    <n v="40"/>
    <s v="Ivy Wanjiru"/>
    <x v="1"/>
    <x v="2"/>
    <x v="1"/>
    <n v="4"/>
    <n v="41"/>
    <n v="425"/>
    <n v="93000"/>
    <n v="81"/>
    <n v="17425"/>
    <n v="5000"/>
    <x v="0"/>
    <e v="#N/A"/>
    <m/>
    <m/>
    <m/>
  </r>
  <r>
    <n v="41"/>
    <s v="Brian Mwangi"/>
    <x v="0"/>
    <x v="0"/>
    <x v="0"/>
    <n v="6"/>
    <n v="46"/>
    <n v="705"/>
    <n v="167000"/>
    <n v="90"/>
    <n v="32430"/>
    <n v="5000"/>
    <x v="0"/>
    <e v="#N/A"/>
    <m/>
    <m/>
    <m/>
  </r>
  <r>
    <n v="42"/>
    <s v="Joyce Njeri"/>
    <x v="1"/>
    <x v="4"/>
    <x v="3"/>
    <n v="2"/>
    <n v="34"/>
    <n v="345"/>
    <n v="0"/>
    <n v="63"/>
    <n v="11730"/>
    <n v="2000"/>
    <x v="1"/>
    <e v="#N/A"/>
    <m/>
    <m/>
    <m/>
  </r>
  <r>
    <n v="43"/>
    <s v="Moses Kirui"/>
    <x v="0"/>
    <x v="3"/>
    <x v="2"/>
    <n v="5"/>
    <n v="42"/>
    <n v="560"/>
    <n v="76000"/>
    <n v="85"/>
    <n v="23520"/>
    <n v="5000"/>
    <x v="0"/>
    <e v="#N/A"/>
    <m/>
    <m/>
    <m/>
  </r>
  <r>
    <n v="44"/>
    <s v="Luke Atieno"/>
    <x v="0"/>
    <x v="1"/>
    <x v="4"/>
    <n v="4"/>
    <n v="39"/>
    <n v="500"/>
    <n v="111000"/>
    <n v="79"/>
    <n v="19500"/>
    <n v="2000"/>
    <x v="1"/>
    <e v="#N/A"/>
    <m/>
    <m/>
    <m/>
  </r>
  <r>
    <n v="45"/>
    <s v="Frank Mutiso"/>
    <x v="0"/>
    <x v="2"/>
    <x v="1"/>
    <n v="5"/>
    <n v="44"/>
    <n v="430"/>
    <n v="94000"/>
    <n v="82"/>
    <n v="18920"/>
    <n v="5000"/>
    <x v="0"/>
    <e v="#N/A"/>
    <m/>
    <m/>
    <m/>
  </r>
  <r>
    <n v="46"/>
    <s v="Daniel Mwangi"/>
    <x v="0"/>
    <x v="0"/>
    <x v="0"/>
    <n v="7"/>
    <n v="48"/>
    <n v="720"/>
    <n v="175000"/>
    <n v="94"/>
    <n v="34560"/>
    <n v="10000"/>
    <x v="2"/>
    <e v="#N/A"/>
    <m/>
    <m/>
    <m/>
  </r>
  <r>
    <n v="47"/>
    <s v="Grace Wairimu"/>
    <x v="1"/>
    <x v="4"/>
    <x v="3"/>
    <n v="3"/>
    <n v="36"/>
    <n v="355"/>
    <n v="0"/>
    <n v="67"/>
    <n v="12780"/>
    <n v="2000"/>
    <x v="1"/>
    <e v="#N/A"/>
    <m/>
    <m/>
    <m/>
  </r>
  <r>
    <n v="48"/>
    <s v="Peter Otieno"/>
    <x v="0"/>
    <x v="2"/>
    <x v="1"/>
    <n v="5"/>
    <n v="45"/>
    <n v="435"/>
    <n v="97000"/>
    <n v="86"/>
    <n v="19575"/>
    <n v="5000"/>
    <x v="0"/>
    <e v="#N/A"/>
    <m/>
    <m/>
    <m/>
  </r>
  <r>
    <n v="49"/>
    <s v="Caroline Njeri"/>
    <x v="1"/>
    <x v="3"/>
    <x v="2"/>
    <n v="4"/>
    <n v="39"/>
    <n v="545"/>
    <n v="71000"/>
    <n v="80"/>
    <n v="21255"/>
    <n v="2000"/>
    <x v="1"/>
    <e v="#N/A"/>
    <m/>
    <m/>
    <m/>
  </r>
  <r>
    <n v="50"/>
    <s v="Benson Kiptoo"/>
    <x v="0"/>
    <x v="1"/>
    <x v="4"/>
    <n v="4"/>
    <n v="40"/>
    <n v="500"/>
    <n v="115000"/>
    <n v="82"/>
    <n v="20000"/>
    <n v="5000"/>
    <x v="0"/>
    <e v="#N/A"/>
    <m/>
    <m/>
    <m/>
  </r>
  <r>
    <m/>
    <m/>
    <x v="2"/>
    <x v="5"/>
    <x v="5"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66254-8774-48FA-8DC8-3778814D7522}" name="PivotTable3" cacheId="8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B21" firstHeaderRow="1" firstDataRow="1" firstDataCol="1"/>
  <pivotFields count="17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Name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6464A-8E69-48B5-8BD9-4BA7F408423D}" name="PivotTable2" cacheId="8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J10" firstHeaderRow="1" firstDataRow="2" firstDataCol="1" rowPageCount="1" colPageCount="1"/>
  <pivotFields count="17"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Page" compact="0" outline="0" multipleItemSelectionAllowed="1" showAll="0">
      <items count="7">
        <item x="3"/>
        <item x="4"/>
        <item x="0"/>
        <item x="2"/>
        <item x="1"/>
        <item h="1" x="5"/>
        <item t="default"/>
      </items>
    </pivotField>
    <pivotField axis="axisRow"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Sales" fld="8" baseField="0" baseItem="0"/>
  </dataFields>
  <chartFormats count="4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404DF-5BED-4CAD-9564-78DD50566195}" name="PivotTable1" cacheId="8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12" firstHeaderRow="0" firstDataRow="1" firstDataCol="2"/>
  <pivotFields count="17"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axis="axisRow" compact="0" outline="0" showAll="0">
      <items count="7">
        <item x="3"/>
        <item x="4"/>
        <item x="0"/>
        <item x="2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3"/>
  </rowFields>
  <rowItems count="11">
    <i>
      <x/>
      <x/>
    </i>
    <i r="1">
      <x v="1"/>
    </i>
    <i r="1">
      <x v="3"/>
    </i>
    <i r="1">
      <x v="4"/>
    </i>
    <i t="default">
      <x/>
    </i>
    <i>
      <x v="1"/>
      <x/>
    </i>
    <i r="1">
      <x v="2"/>
    </i>
    <i r="1">
      <x v="3"/>
    </i>
    <i r="1">
      <x v="4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erformance Score" fld="9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sqref="A1:XFD1048576"/>
    </sheetView>
  </sheetViews>
  <sheetFormatPr defaultRowHeight="15"/>
  <cols>
    <col min="1" max="1" width="36.570312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45</v>
      </c>
      <c r="H2">
        <v>650</v>
      </c>
      <c r="I2">
        <v>160000</v>
      </c>
      <c r="J2">
        <v>88</v>
      </c>
    </row>
    <row r="3" spans="1:10">
      <c r="A3" s="1">
        <v>2</v>
      </c>
      <c r="B3" t="s">
        <v>14</v>
      </c>
      <c r="C3" t="s">
        <v>11</v>
      </c>
      <c r="D3" t="s">
        <v>8</v>
      </c>
      <c r="E3" t="s">
        <v>13</v>
      </c>
      <c r="F3">
        <v>4</v>
      </c>
      <c r="G3">
        <v>42</v>
      </c>
      <c r="H3">
        <v>500</v>
      </c>
      <c r="I3">
        <v>130000</v>
      </c>
      <c r="J3">
        <v>80</v>
      </c>
    </row>
    <row r="4" spans="1:10">
      <c r="A4" s="1">
        <v>3</v>
      </c>
      <c r="B4" t="s">
        <v>15</v>
      </c>
      <c r="C4" t="s">
        <v>11</v>
      </c>
      <c r="D4" t="s">
        <v>16</v>
      </c>
      <c r="E4" t="s">
        <v>17</v>
      </c>
      <c r="F4">
        <v>3</v>
      </c>
      <c r="G4">
        <v>40</v>
      </c>
      <c r="H4">
        <v>420</v>
      </c>
      <c r="I4">
        <v>90000</v>
      </c>
      <c r="J4">
        <v>75</v>
      </c>
    </row>
    <row r="5" spans="1:10">
      <c r="A5" s="1">
        <v>4</v>
      </c>
      <c r="B5" t="s">
        <v>18</v>
      </c>
      <c r="C5" t="s">
        <v>11</v>
      </c>
      <c r="D5" t="s">
        <v>12</v>
      </c>
      <c r="E5" t="s">
        <v>13</v>
      </c>
      <c r="F5">
        <v>6</v>
      </c>
      <c r="G5">
        <v>46</v>
      </c>
      <c r="H5">
        <v>700</v>
      </c>
      <c r="I5">
        <v>170000</v>
      </c>
      <c r="J5">
        <v>92</v>
      </c>
    </row>
    <row r="6" spans="1:10">
      <c r="A6" s="1">
        <v>5</v>
      </c>
      <c r="B6" t="s">
        <v>19</v>
      </c>
      <c r="C6" t="s">
        <v>11</v>
      </c>
      <c r="D6" t="s">
        <v>20</v>
      </c>
      <c r="E6" t="s">
        <v>21</v>
      </c>
      <c r="F6">
        <v>5</v>
      </c>
      <c r="G6">
        <v>41</v>
      </c>
      <c r="H6">
        <v>550</v>
      </c>
      <c r="I6">
        <v>70000</v>
      </c>
      <c r="J6">
        <v>78</v>
      </c>
    </row>
    <row r="7" spans="1:10">
      <c r="A7" s="1">
        <v>6</v>
      </c>
      <c r="B7" t="s">
        <v>22</v>
      </c>
      <c r="C7" t="s">
        <v>23</v>
      </c>
      <c r="D7" t="s">
        <v>24</v>
      </c>
      <c r="E7" t="s">
        <v>25</v>
      </c>
      <c r="F7">
        <v>2</v>
      </c>
      <c r="G7">
        <v>36</v>
      </c>
      <c r="H7">
        <v>350</v>
      </c>
      <c r="I7">
        <v>0</v>
      </c>
      <c r="J7">
        <v>65</v>
      </c>
    </row>
    <row r="8" spans="1:10">
      <c r="A8" s="1">
        <v>7</v>
      </c>
      <c r="B8" t="s">
        <v>26</v>
      </c>
      <c r="C8" t="s">
        <v>11</v>
      </c>
      <c r="D8" t="s">
        <v>8</v>
      </c>
      <c r="E8" t="s">
        <v>27</v>
      </c>
      <c r="F8">
        <v>4</v>
      </c>
      <c r="G8">
        <v>43</v>
      </c>
      <c r="H8">
        <v>510</v>
      </c>
      <c r="I8">
        <v>120000</v>
      </c>
      <c r="J8">
        <v>82</v>
      </c>
    </row>
    <row r="9" spans="1:10">
      <c r="A9" s="1">
        <v>8</v>
      </c>
      <c r="B9" t="s">
        <v>28</v>
      </c>
      <c r="C9" t="s">
        <v>11</v>
      </c>
      <c r="D9" t="s">
        <v>12</v>
      </c>
      <c r="E9" t="s">
        <v>13</v>
      </c>
      <c r="F9">
        <v>7</v>
      </c>
      <c r="G9">
        <v>48</v>
      </c>
      <c r="H9">
        <v>720</v>
      </c>
      <c r="I9">
        <v>175000</v>
      </c>
      <c r="J9">
        <v>95</v>
      </c>
    </row>
    <row r="10" spans="1:10">
      <c r="A10" s="1">
        <v>9</v>
      </c>
      <c r="B10" t="s">
        <v>29</v>
      </c>
      <c r="C10" t="s">
        <v>11</v>
      </c>
      <c r="D10" t="s">
        <v>20</v>
      </c>
      <c r="E10" t="s">
        <v>21</v>
      </c>
      <c r="F10">
        <v>6</v>
      </c>
      <c r="G10">
        <v>42</v>
      </c>
      <c r="H10">
        <v>560</v>
      </c>
      <c r="I10">
        <v>75000</v>
      </c>
      <c r="J10">
        <v>85</v>
      </c>
    </row>
    <row r="11" spans="1:10">
      <c r="A11" s="1">
        <v>10</v>
      </c>
      <c r="B11" t="s">
        <v>30</v>
      </c>
      <c r="C11" t="s">
        <v>23</v>
      </c>
      <c r="D11" t="s">
        <v>24</v>
      </c>
      <c r="E11" t="s">
        <v>25</v>
      </c>
      <c r="F11">
        <v>3</v>
      </c>
      <c r="G11">
        <v>37</v>
      </c>
      <c r="H11">
        <v>360</v>
      </c>
      <c r="I11">
        <v>0</v>
      </c>
      <c r="J11">
        <v>68</v>
      </c>
    </row>
    <row r="12" spans="1:10">
      <c r="A12" s="1">
        <v>11</v>
      </c>
      <c r="B12" t="s">
        <v>31</v>
      </c>
      <c r="C12" t="s">
        <v>11</v>
      </c>
      <c r="D12" t="s">
        <v>8</v>
      </c>
      <c r="E12" t="s">
        <v>27</v>
      </c>
      <c r="F12">
        <v>4</v>
      </c>
      <c r="G12">
        <v>41</v>
      </c>
      <c r="H12">
        <v>500</v>
      </c>
      <c r="I12">
        <v>115000</v>
      </c>
      <c r="J12">
        <v>79</v>
      </c>
    </row>
    <row r="13" spans="1:10">
      <c r="A13" s="1">
        <v>12</v>
      </c>
      <c r="B13" t="s">
        <v>32</v>
      </c>
      <c r="C13" t="s">
        <v>23</v>
      </c>
      <c r="D13" t="s">
        <v>16</v>
      </c>
      <c r="E13" t="s">
        <v>17</v>
      </c>
      <c r="F13">
        <v>5</v>
      </c>
      <c r="G13">
        <v>44</v>
      </c>
      <c r="H13">
        <v>430</v>
      </c>
      <c r="I13">
        <v>95000</v>
      </c>
      <c r="J13">
        <v>83</v>
      </c>
    </row>
    <row r="14" spans="1:10">
      <c r="A14" s="1">
        <v>13</v>
      </c>
      <c r="B14" t="s">
        <v>33</v>
      </c>
      <c r="C14" t="s">
        <v>11</v>
      </c>
      <c r="D14" t="s">
        <v>12</v>
      </c>
      <c r="E14" t="s">
        <v>13</v>
      </c>
      <c r="F14">
        <v>6</v>
      </c>
      <c r="G14">
        <v>47</v>
      </c>
      <c r="H14">
        <v>710</v>
      </c>
      <c r="I14">
        <v>165000</v>
      </c>
      <c r="J14">
        <v>90</v>
      </c>
    </row>
    <row r="15" spans="1:10">
      <c r="A15" s="1">
        <v>14</v>
      </c>
      <c r="B15" t="s">
        <v>34</v>
      </c>
      <c r="C15" t="s">
        <v>23</v>
      </c>
      <c r="D15" t="s">
        <v>24</v>
      </c>
      <c r="E15" t="s">
        <v>25</v>
      </c>
      <c r="F15">
        <v>2</v>
      </c>
      <c r="G15">
        <v>35</v>
      </c>
      <c r="H15">
        <v>350</v>
      </c>
      <c r="I15">
        <v>0</v>
      </c>
      <c r="J15">
        <v>60</v>
      </c>
    </row>
    <row r="16" spans="1:10">
      <c r="A16" s="1">
        <v>15</v>
      </c>
      <c r="B16" t="s">
        <v>35</v>
      </c>
      <c r="C16" t="s">
        <v>11</v>
      </c>
      <c r="D16" t="s">
        <v>12</v>
      </c>
      <c r="E16" t="s">
        <v>13</v>
      </c>
      <c r="F16">
        <v>7</v>
      </c>
      <c r="G16">
        <v>49</v>
      </c>
      <c r="H16">
        <v>730</v>
      </c>
      <c r="I16">
        <v>180000</v>
      </c>
      <c r="J16">
        <v>96</v>
      </c>
    </row>
    <row r="17" spans="1:10">
      <c r="A17" s="1">
        <v>16</v>
      </c>
      <c r="B17" t="s">
        <v>36</v>
      </c>
      <c r="C17" t="s">
        <v>23</v>
      </c>
      <c r="D17" t="s">
        <v>20</v>
      </c>
      <c r="E17" t="s">
        <v>21</v>
      </c>
      <c r="F17">
        <v>5</v>
      </c>
      <c r="G17">
        <v>40</v>
      </c>
      <c r="H17">
        <v>540</v>
      </c>
      <c r="I17">
        <v>72000</v>
      </c>
      <c r="J17">
        <v>80</v>
      </c>
    </row>
    <row r="18" spans="1:10">
      <c r="A18" s="1">
        <v>17</v>
      </c>
      <c r="B18" t="s">
        <v>37</v>
      </c>
      <c r="C18" t="s">
        <v>11</v>
      </c>
      <c r="D18" t="s">
        <v>8</v>
      </c>
      <c r="E18" t="s">
        <v>27</v>
      </c>
      <c r="F18">
        <v>3</v>
      </c>
      <c r="G18">
        <v>39</v>
      </c>
      <c r="H18">
        <v>495</v>
      </c>
      <c r="I18">
        <v>110000</v>
      </c>
      <c r="J18">
        <v>77</v>
      </c>
    </row>
    <row r="19" spans="1:10">
      <c r="A19" s="1">
        <v>18</v>
      </c>
      <c r="B19" t="s">
        <v>38</v>
      </c>
      <c r="C19" t="s">
        <v>23</v>
      </c>
      <c r="D19" t="s">
        <v>16</v>
      </c>
      <c r="E19" t="s">
        <v>17</v>
      </c>
      <c r="F19">
        <v>4</v>
      </c>
      <c r="G19">
        <v>42</v>
      </c>
      <c r="H19">
        <v>425</v>
      </c>
      <c r="I19">
        <v>92000</v>
      </c>
      <c r="J19">
        <v>81</v>
      </c>
    </row>
    <row r="20" spans="1:10">
      <c r="A20" s="1">
        <v>19</v>
      </c>
      <c r="B20" t="s">
        <v>39</v>
      </c>
      <c r="C20" t="s">
        <v>11</v>
      </c>
      <c r="D20" t="s">
        <v>16</v>
      </c>
      <c r="E20" t="s">
        <v>17</v>
      </c>
      <c r="F20">
        <v>5</v>
      </c>
      <c r="G20">
        <v>45</v>
      </c>
      <c r="H20">
        <v>430</v>
      </c>
      <c r="I20">
        <v>97000</v>
      </c>
      <c r="J20">
        <v>84</v>
      </c>
    </row>
    <row r="21" spans="1:10">
      <c r="A21" s="1">
        <v>20</v>
      </c>
      <c r="B21" t="s">
        <v>40</v>
      </c>
      <c r="C21" t="s">
        <v>23</v>
      </c>
      <c r="D21" t="s">
        <v>24</v>
      </c>
      <c r="E21" t="s">
        <v>25</v>
      </c>
      <c r="F21">
        <v>3</v>
      </c>
      <c r="G21">
        <v>36</v>
      </c>
      <c r="H21">
        <v>355</v>
      </c>
      <c r="I21">
        <v>0</v>
      </c>
      <c r="J21">
        <v>66</v>
      </c>
    </row>
    <row r="22" spans="1:10">
      <c r="A22" s="1">
        <v>21</v>
      </c>
      <c r="B22" t="s">
        <v>41</v>
      </c>
      <c r="C22" t="s">
        <v>11</v>
      </c>
      <c r="D22" t="s">
        <v>12</v>
      </c>
      <c r="E22" t="s">
        <v>13</v>
      </c>
      <c r="F22">
        <v>8</v>
      </c>
      <c r="G22">
        <v>50</v>
      </c>
      <c r="H22">
        <v>740</v>
      </c>
      <c r="I22">
        <v>185000</v>
      </c>
      <c r="J22">
        <v>97</v>
      </c>
    </row>
    <row r="23" spans="1:10">
      <c r="A23" s="1">
        <v>22</v>
      </c>
      <c r="B23" t="s">
        <v>42</v>
      </c>
      <c r="C23" t="s">
        <v>23</v>
      </c>
      <c r="D23" t="s">
        <v>16</v>
      </c>
      <c r="E23" t="s">
        <v>17</v>
      </c>
      <c r="F23">
        <v>4</v>
      </c>
      <c r="G23">
        <v>41</v>
      </c>
      <c r="H23">
        <v>420</v>
      </c>
      <c r="I23">
        <v>91000</v>
      </c>
      <c r="J23">
        <v>79</v>
      </c>
    </row>
    <row r="24" spans="1:10">
      <c r="A24" s="1">
        <v>23</v>
      </c>
      <c r="B24" t="s">
        <v>43</v>
      </c>
      <c r="C24" t="s">
        <v>11</v>
      </c>
      <c r="D24" t="s">
        <v>12</v>
      </c>
      <c r="E24" t="s">
        <v>13</v>
      </c>
      <c r="F24">
        <v>6</v>
      </c>
      <c r="G24">
        <v>46</v>
      </c>
      <c r="H24">
        <v>705</v>
      </c>
      <c r="I24">
        <v>168000</v>
      </c>
      <c r="J24">
        <v>91</v>
      </c>
    </row>
    <row r="25" spans="1:10">
      <c r="A25" s="1">
        <v>24</v>
      </c>
      <c r="B25" t="s">
        <v>44</v>
      </c>
      <c r="C25" t="s">
        <v>23</v>
      </c>
      <c r="D25" t="s">
        <v>24</v>
      </c>
      <c r="E25" t="s">
        <v>25</v>
      </c>
      <c r="F25">
        <v>2</v>
      </c>
      <c r="G25">
        <v>34</v>
      </c>
      <c r="H25">
        <v>345</v>
      </c>
      <c r="I25">
        <v>0</v>
      </c>
      <c r="J25">
        <v>62</v>
      </c>
    </row>
    <row r="26" spans="1:10">
      <c r="A26" s="1">
        <v>25</v>
      </c>
      <c r="B26" t="s">
        <v>45</v>
      </c>
      <c r="C26" t="s">
        <v>11</v>
      </c>
      <c r="D26" t="s">
        <v>20</v>
      </c>
      <c r="E26" t="s">
        <v>21</v>
      </c>
      <c r="F26">
        <v>5</v>
      </c>
      <c r="G26">
        <v>43</v>
      </c>
      <c r="H26">
        <v>560</v>
      </c>
      <c r="I26">
        <v>76000</v>
      </c>
      <c r="J26">
        <v>86</v>
      </c>
    </row>
    <row r="27" spans="1:10">
      <c r="A27" s="1">
        <v>26</v>
      </c>
      <c r="B27" t="s">
        <v>46</v>
      </c>
      <c r="C27" t="s">
        <v>23</v>
      </c>
      <c r="D27" t="s">
        <v>8</v>
      </c>
      <c r="E27" t="s">
        <v>27</v>
      </c>
      <c r="F27">
        <v>4</v>
      </c>
      <c r="G27">
        <v>40</v>
      </c>
      <c r="H27">
        <v>500</v>
      </c>
      <c r="I27">
        <v>112000</v>
      </c>
      <c r="J27">
        <v>78</v>
      </c>
    </row>
    <row r="28" spans="1:10">
      <c r="A28" s="1">
        <v>27</v>
      </c>
      <c r="B28" t="s">
        <v>47</v>
      </c>
      <c r="C28" t="s">
        <v>11</v>
      </c>
      <c r="D28" t="s">
        <v>16</v>
      </c>
      <c r="E28" t="s">
        <v>17</v>
      </c>
      <c r="F28">
        <v>5</v>
      </c>
      <c r="G28">
        <v>44</v>
      </c>
      <c r="H28">
        <v>435</v>
      </c>
      <c r="I28">
        <v>94000</v>
      </c>
      <c r="J28">
        <v>82</v>
      </c>
    </row>
    <row r="29" spans="1:10">
      <c r="A29" s="1">
        <v>28</v>
      </c>
      <c r="B29" t="s">
        <v>48</v>
      </c>
      <c r="C29" t="s">
        <v>11</v>
      </c>
      <c r="D29" t="s">
        <v>12</v>
      </c>
      <c r="E29" t="s">
        <v>13</v>
      </c>
      <c r="F29">
        <v>7</v>
      </c>
      <c r="G29">
        <v>48</v>
      </c>
      <c r="H29">
        <v>720</v>
      </c>
      <c r="I29">
        <v>176000</v>
      </c>
      <c r="J29">
        <v>95</v>
      </c>
    </row>
    <row r="30" spans="1:10">
      <c r="A30" s="1">
        <v>29</v>
      </c>
      <c r="B30" t="s">
        <v>49</v>
      </c>
      <c r="C30" t="s">
        <v>23</v>
      </c>
      <c r="D30" t="s">
        <v>20</v>
      </c>
      <c r="E30" t="s">
        <v>21</v>
      </c>
      <c r="F30">
        <v>4</v>
      </c>
      <c r="G30">
        <v>39</v>
      </c>
      <c r="H30">
        <v>545</v>
      </c>
      <c r="I30">
        <v>71000</v>
      </c>
      <c r="J30">
        <v>79</v>
      </c>
    </row>
    <row r="31" spans="1:10">
      <c r="A31" s="1">
        <v>30</v>
      </c>
      <c r="B31" t="s">
        <v>50</v>
      </c>
      <c r="C31" t="s">
        <v>11</v>
      </c>
      <c r="D31" t="s">
        <v>8</v>
      </c>
      <c r="E31" t="s">
        <v>27</v>
      </c>
      <c r="F31">
        <v>3</v>
      </c>
      <c r="G31">
        <v>38</v>
      </c>
      <c r="H31">
        <v>490</v>
      </c>
      <c r="I31">
        <v>108000</v>
      </c>
      <c r="J31">
        <v>76</v>
      </c>
    </row>
    <row r="32" spans="1:10">
      <c r="A32" s="1">
        <v>31</v>
      </c>
      <c r="B32" t="s">
        <v>51</v>
      </c>
      <c r="C32" t="s">
        <v>23</v>
      </c>
      <c r="D32" t="s">
        <v>16</v>
      </c>
      <c r="E32" t="s">
        <v>17</v>
      </c>
      <c r="F32">
        <v>5</v>
      </c>
      <c r="G32">
        <v>43</v>
      </c>
      <c r="H32">
        <v>430</v>
      </c>
      <c r="I32">
        <v>96000</v>
      </c>
      <c r="J32">
        <v>84</v>
      </c>
    </row>
    <row r="33" spans="1:10">
      <c r="A33" s="1">
        <v>32</v>
      </c>
      <c r="B33" t="s">
        <v>52</v>
      </c>
      <c r="C33" t="s">
        <v>11</v>
      </c>
      <c r="D33" t="s">
        <v>12</v>
      </c>
      <c r="E33" t="s">
        <v>13</v>
      </c>
      <c r="F33">
        <v>6</v>
      </c>
      <c r="G33">
        <v>47</v>
      </c>
      <c r="H33">
        <v>710</v>
      </c>
      <c r="I33">
        <v>169000</v>
      </c>
      <c r="J33">
        <v>92</v>
      </c>
    </row>
    <row r="34" spans="1:10">
      <c r="A34" s="1">
        <v>33</v>
      </c>
      <c r="B34" t="s">
        <v>53</v>
      </c>
      <c r="C34" t="s">
        <v>23</v>
      </c>
      <c r="D34" t="s">
        <v>24</v>
      </c>
      <c r="E34" t="s">
        <v>25</v>
      </c>
      <c r="F34">
        <v>2</v>
      </c>
      <c r="G34">
        <v>35</v>
      </c>
      <c r="H34">
        <v>350</v>
      </c>
      <c r="I34">
        <v>0</v>
      </c>
      <c r="J34">
        <v>61</v>
      </c>
    </row>
    <row r="35" spans="1:10">
      <c r="A35" s="1">
        <v>34</v>
      </c>
      <c r="B35" t="s">
        <v>54</v>
      </c>
      <c r="C35" t="s">
        <v>11</v>
      </c>
      <c r="D35" t="s">
        <v>20</v>
      </c>
      <c r="E35" t="s">
        <v>21</v>
      </c>
      <c r="F35">
        <v>5</v>
      </c>
      <c r="G35">
        <v>42</v>
      </c>
      <c r="H35">
        <v>555</v>
      </c>
      <c r="I35">
        <v>74000</v>
      </c>
      <c r="J35">
        <v>83</v>
      </c>
    </row>
    <row r="36" spans="1:10">
      <c r="A36" s="1">
        <v>35</v>
      </c>
      <c r="B36" t="s">
        <v>55</v>
      </c>
      <c r="C36" t="s">
        <v>23</v>
      </c>
      <c r="D36" t="s">
        <v>8</v>
      </c>
      <c r="E36" t="s">
        <v>27</v>
      </c>
      <c r="F36">
        <v>4</v>
      </c>
      <c r="G36">
        <v>40</v>
      </c>
      <c r="H36">
        <v>500</v>
      </c>
      <c r="I36">
        <v>114000</v>
      </c>
      <c r="J36">
        <v>80</v>
      </c>
    </row>
    <row r="37" spans="1:10">
      <c r="A37" s="1">
        <v>36</v>
      </c>
      <c r="B37" t="s">
        <v>56</v>
      </c>
      <c r="C37" t="s">
        <v>11</v>
      </c>
      <c r="D37" t="s">
        <v>16</v>
      </c>
      <c r="E37" t="s">
        <v>17</v>
      </c>
      <c r="F37">
        <v>5</v>
      </c>
      <c r="G37">
        <v>44</v>
      </c>
      <c r="H37">
        <v>435</v>
      </c>
      <c r="I37">
        <v>95000</v>
      </c>
      <c r="J37">
        <v>85</v>
      </c>
    </row>
    <row r="38" spans="1:10">
      <c r="A38" s="1">
        <v>37</v>
      </c>
      <c r="B38" t="s">
        <v>57</v>
      </c>
      <c r="C38" t="s">
        <v>11</v>
      </c>
      <c r="D38" t="s">
        <v>12</v>
      </c>
      <c r="E38" t="s">
        <v>13</v>
      </c>
      <c r="F38">
        <v>7</v>
      </c>
      <c r="G38">
        <v>48</v>
      </c>
      <c r="H38">
        <v>725</v>
      </c>
      <c r="I38">
        <v>178000</v>
      </c>
      <c r="J38">
        <v>96</v>
      </c>
    </row>
    <row r="39" spans="1:10">
      <c r="A39" s="1">
        <v>38</v>
      </c>
      <c r="B39" t="s">
        <v>58</v>
      </c>
      <c r="C39" t="s">
        <v>23</v>
      </c>
      <c r="D39" t="s">
        <v>20</v>
      </c>
      <c r="E39" t="s">
        <v>21</v>
      </c>
      <c r="F39">
        <v>4</v>
      </c>
      <c r="G39">
        <v>39</v>
      </c>
      <c r="H39">
        <v>540</v>
      </c>
      <c r="I39">
        <v>70500</v>
      </c>
      <c r="J39">
        <v>78</v>
      </c>
    </row>
    <row r="40" spans="1:10">
      <c r="A40" s="1">
        <v>39</v>
      </c>
      <c r="B40" t="s">
        <v>59</v>
      </c>
      <c r="C40" t="s">
        <v>11</v>
      </c>
      <c r="D40" t="s">
        <v>8</v>
      </c>
      <c r="E40" t="s">
        <v>27</v>
      </c>
      <c r="F40">
        <v>3</v>
      </c>
      <c r="G40">
        <v>38</v>
      </c>
      <c r="H40">
        <v>495</v>
      </c>
      <c r="I40">
        <v>109000</v>
      </c>
      <c r="J40">
        <v>77</v>
      </c>
    </row>
    <row r="41" spans="1:10">
      <c r="A41" s="1">
        <v>40</v>
      </c>
      <c r="B41" t="s">
        <v>60</v>
      </c>
      <c r="C41" t="s">
        <v>23</v>
      </c>
      <c r="D41" t="s">
        <v>16</v>
      </c>
      <c r="E41" t="s">
        <v>17</v>
      </c>
      <c r="F41">
        <v>4</v>
      </c>
      <c r="G41">
        <v>41</v>
      </c>
      <c r="H41">
        <v>425</v>
      </c>
      <c r="I41">
        <v>93000</v>
      </c>
      <c r="J41">
        <v>81</v>
      </c>
    </row>
    <row r="42" spans="1:10">
      <c r="A42" s="1">
        <v>41</v>
      </c>
      <c r="B42" t="s">
        <v>61</v>
      </c>
      <c r="C42" t="s">
        <v>11</v>
      </c>
      <c r="D42" t="s">
        <v>12</v>
      </c>
      <c r="E42" t="s">
        <v>13</v>
      </c>
      <c r="F42">
        <v>6</v>
      </c>
      <c r="G42">
        <v>46</v>
      </c>
      <c r="H42">
        <v>705</v>
      </c>
      <c r="I42">
        <v>167000</v>
      </c>
      <c r="J42">
        <v>90</v>
      </c>
    </row>
    <row r="43" spans="1:10">
      <c r="A43" s="1">
        <v>42</v>
      </c>
      <c r="B43" t="s">
        <v>62</v>
      </c>
      <c r="C43" t="s">
        <v>23</v>
      </c>
      <c r="D43" t="s">
        <v>24</v>
      </c>
      <c r="E43" t="s">
        <v>25</v>
      </c>
      <c r="F43">
        <v>2</v>
      </c>
      <c r="G43">
        <v>34</v>
      </c>
      <c r="H43">
        <v>345</v>
      </c>
      <c r="I43">
        <v>0</v>
      </c>
      <c r="J43">
        <v>63</v>
      </c>
    </row>
    <row r="44" spans="1:10">
      <c r="A44" s="1">
        <v>43</v>
      </c>
      <c r="B44" t="s">
        <v>63</v>
      </c>
      <c r="C44" t="s">
        <v>11</v>
      </c>
      <c r="D44" t="s">
        <v>20</v>
      </c>
      <c r="E44" t="s">
        <v>21</v>
      </c>
      <c r="F44">
        <v>5</v>
      </c>
      <c r="G44">
        <v>42</v>
      </c>
      <c r="H44">
        <v>560</v>
      </c>
      <c r="I44">
        <v>76000</v>
      </c>
      <c r="J44">
        <v>85</v>
      </c>
    </row>
    <row r="45" spans="1:10">
      <c r="A45" s="1">
        <v>44</v>
      </c>
      <c r="B45" t="s">
        <v>64</v>
      </c>
      <c r="C45" t="s">
        <v>11</v>
      </c>
      <c r="D45" t="s">
        <v>8</v>
      </c>
      <c r="E45" t="s">
        <v>27</v>
      </c>
      <c r="F45">
        <v>4</v>
      </c>
      <c r="G45">
        <v>39</v>
      </c>
      <c r="H45">
        <v>500</v>
      </c>
      <c r="I45">
        <v>111000</v>
      </c>
      <c r="J45">
        <v>79</v>
      </c>
    </row>
    <row r="46" spans="1:10">
      <c r="A46" s="1">
        <v>45</v>
      </c>
      <c r="B46" t="s">
        <v>65</v>
      </c>
      <c r="C46" t="s">
        <v>11</v>
      </c>
      <c r="D46" t="s">
        <v>16</v>
      </c>
      <c r="E46" t="s">
        <v>17</v>
      </c>
      <c r="F46">
        <v>5</v>
      </c>
      <c r="G46">
        <v>44</v>
      </c>
      <c r="H46">
        <v>430</v>
      </c>
      <c r="I46">
        <v>94000</v>
      </c>
      <c r="J46">
        <v>82</v>
      </c>
    </row>
    <row r="47" spans="1:10">
      <c r="A47" s="1">
        <v>46</v>
      </c>
      <c r="B47" t="s">
        <v>66</v>
      </c>
      <c r="C47" t="s">
        <v>11</v>
      </c>
      <c r="D47" t="s">
        <v>12</v>
      </c>
      <c r="E47" t="s">
        <v>13</v>
      </c>
      <c r="F47">
        <v>7</v>
      </c>
      <c r="G47">
        <v>48</v>
      </c>
      <c r="H47">
        <v>720</v>
      </c>
      <c r="I47">
        <v>175000</v>
      </c>
      <c r="J47">
        <v>94</v>
      </c>
    </row>
    <row r="48" spans="1:10">
      <c r="A48" s="1">
        <v>47</v>
      </c>
      <c r="B48" t="s">
        <v>67</v>
      </c>
      <c r="C48" t="s">
        <v>23</v>
      </c>
      <c r="D48" t="s">
        <v>24</v>
      </c>
      <c r="E48" t="s">
        <v>25</v>
      </c>
      <c r="F48">
        <v>3</v>
      </c>
      <c r="G48">
        <v>36</v>
      </c>
      <c r="H48">
        <v>355</v>
      </c>
      <c r="I48">
        <v>0</v>
      </c>
      <c r="J48">
        <v>67</v>
      </c>
    </row>
    <row r="49" spans="1:10">
      <c r="A49" s="1">
        <v>48</v>
      </c>
      <c r="B49" t="s">
        <v>68</v>
      </c>
      <c r="C49" t="s">
        <v>11</v>
      </c>
      <c r="D49" t="s">
        <v>16</v>
      </c>
      <c r="E49" t="s">
        <v>17</v>
      </c>
      <c r="F49">
        <v>5</v>
      </c>
      <c r="G49">
        <v>45</v>
      </c>
      <c r="H49">
        <v>435</v>
      </c>
      <c r="I49">
        <v>97000</v>
      </c>
      <c r="J49">
        <v>86</v>
      </c>
    </row>
    <row r="50" spans="1:10">
      <c r="A50" s="1">
        <v>49</v>
      </c>
      <c r="B50" t="s">
        <v>69</v>
      </c>
      <c r="C50" t="s">
        <v>23</v>
      </c>
      <c r="D50" t="s">
        <v>20</v>
      </c>
      <c r="E50" t="s">
        <v>21</v>
      </c>
      <c r="F50">
        <v>4</v>
      </c>
      <c r="G50">
        <v>39</v>
      </c>
      <c r="H50">
        <v>545</v>
      </c>
      <c r="I50">
        <v>71000</v>
      </c>
      <c r="J50">
        <v>80</v>
      </c>
    </row>
    <row r="51" spans="1:10">
      <c r="A51" s="1">
        <v>50</v>
      </c>
      <c r="B51" t="s">
        <v>70</v>
      </c>
      <c r="C51" t="s">
        <v>11</v>
      </c>
      <c r="D51" t="s">
        <v>8</v>
      </c>
      <c r="E51" t="s">
        <v>27</v>
      </c>
      <c r="F51">
        <v>4</v>
      </c>
      <c r="G51">
        <v>40</v>
      </c>
      <c r="H51">
        <v>500</v>
      </c>
      <c r="I51">
        <v>115000</v>
      </c>
      <c r="J51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99EF-991A-48D7-B4BD-337732666DAA}">
  <dimension ref="A1:Q51"/>
  <sheetViews>
    <sheetView workbookViewId="0">
      <selection sqref="A1:XFD1048576"/>
    </sheetView>
  </sheetViews>
  <sheetFormatPr defaultRowHeight="15"/>
  <cols>
    <col min="1" max="1" width="12" customWidth="1"/>
    <col min="2" max="2" width="16" customWidth="1"/>
    <col min="4" max="4" width="11.7109375" customWidth="1"/>
    <col min="10" max="10" width="11" customWidth="1"/>
    <col min="13" max="13" width="16.28515625" bestFit="1" customWidth="1"/>
    <col min="14" max="14" width="14.140625" customWidth="1"/>
    <col min="16" max="16" width="11.7109375" bestFit="1" customWidth="1"/>
    <col min="17" max="17" width="10.140625" bestFit="1" customWidth="1"/>
  </cols>
  <sheetData>
    <row r="1" spans="1:17" s="3" customFormat="1" ht="9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71</v>
      </c>
      <c r="L1" s="3" t="s">
        <v>72</v>
      </c>
      <c r="M1" s="3" t="s">
        <v>73</v>
      </c>
      <c r="N1" s="3" t="s">
        <v>74</v>
      </c>
      <c r="P1" s="4" t="s">
        <v>3</v>
      </c>
      <c r="Q1" s="4" t="s">
        <v>74</v>
      </c>
    </row>
    <row r="2" spans="1:17" ht="30.75">
      <c r="A2" s="1">
        <f>Raw_Data!A2</f>
        <v>1</v>
      </c>
      <c r="B2" t="str">
        <f>PROPER(TRIM(Raw_Data!B2))</f>
        <v>Samuel Wambui</v>
      </c>
      <c r="C2" t="str">
        <f>PROPER(TRIM(Raw_Data!C2))</f>
        <v>Male</v>
      </c>
      <c r="D2" t="str">
        <f>UPPER(TRIM(Raw_Data!D2))</f>
        <v>IT</v>
      </c>
      <c r="E2" t="str">
        <f>PROPER(TRIM(Raw_Data!E2))</f>
        <v>Nairobi</v>
      </c>
      <c r="F2">
        <f>Raw_Data!F2</f>
        <v>5</v>
      </c>
      <c r="G2">
        <f>Raw_Data!G2</f>
        <v>45</v>
      </c>
      <c r="H2">
        <f>Raw_Data!H2</f>
        <v>650</v>
      </c>
      <c r="I2">
        <f>Raw_Data!I2</f>
        <v>160000</v>
      </c>
      <c r="J2">
        <f>Raw_Data!J2</f>
        <v>88</v>
      </c>
      <c r="K2">
        <f>G2*H2</f>
        <v>29250</v>
      </c>
      <c r="L2">
        <f>IF(J2&gt;90,10000,IF(J2&gt;80,5000,2000))</f>
        <v>5000</v>
      </c>
      <c r="M2" t="str">
        <f>IF(J2&gt;90,"Excellent",IF(J2&gt;80,"Good","Average"))</f>
        <v>Good</v>
      </c>
      <c r="N2" s="1">
        <f>IFERROR(VLOOKUP(D2,P2:Q6,2,FALSE),0)</f>
        <v>8000</v>
      </c>
      <c r="P2" t="s">
        <v>12</v>
      </c>
      <c r="Q2">
        <v>8000</v>
      </c>
    </row>
    <row r="3" spans="1:17">
      <c r="A3" s="1">
        <f>Raw_Data!A3</f>
        <v>2</v>
      </c>
      <c r="B3" t="str">
        <f>PROPER(TRIM(Raw_Data!B3))</f>
        <v>Leonard Karanja</v>
      </c>
      <c r="C3" t="str">
        <f>PROPER(TRIM(Raw_Data!C3))</f>
        <v>Male</v>
      </c>
      <c r="D3" t="str">
        <f>UPPER(TRIM(Raw_Data!D3))</f>
        <v>SALES</v>
      </c>
      <c r="E3" t="str">
        <f>PROPER(TRIM(Raw_Data!E3))</f>
        <v>Nairobi</v>
      </c>
      <c r="F3">
        <f>Raw_Data!F3</f>
        <v>4</v>
      </c>
      <c r="G3">
        <f>Raw_Data!G3</f>
        <v>42</v>
      </c>
      <c r="H3">
        <f>Raw_Data!H3</f>
        <v>500</v>
      </c>
      <c r="I3">
        <f>Raw_Data!I3</f>
        <v>130000</v>
      </c>
      <c r="J3">
        <f>Raw_Data!J3</f>
        <v>80</v>
      </c>
      <c r="K3">
        <f t="shared" ref="K3:K51" si="0">G3*H3</f>
        <v>21000</v>
      </c>
      <c r="L3">
        <f t="shared" ref="L3:L51" si="1">IF(J3&gt;90,10000,IF(J3&gt;80,5000,2000))</f>
        <v>2000</v>
      </c>
      <c r="M3" t="str">
        <f t="shared" ref="M3:M51" si="2">IF(J3&gt;90,"Excellent",IF(J3&gt;80,"Good","Average"))</f>
        <v>Average</v>
      </c>
      <c r="N3" s="1">
        <f t="shared" ref="N3:N51" si="3">IFERROR(VLOOKUP(D3,P3:Q7,2,FALSE),0)</f>
        <v>5000</v>
      </c>
      <c r="P3" t="s">
        <v>75</v>
      </c>
      <c r="Q3">
        <v>5000</v>
      </c>
    </row>
    <row r="4" spans="1:17">
      <c r="A4" s="1">
        <f>Raw_Data!A4</f>
        <v>3</v>
      </c>
      <c r="B4" t="str">
        <f>PROPER(TRIM(Raw_Data!B4))</f>
        <v>Ryan Nyambura</v>
      </c>
      <c r="C4" t="str">
        <f>PROPER(TRIM(Raw_Data!C4))</f>
        <v>Male</v>
      </c>
      <c r="D4" t="str">
        <f>UPPER(TRIM(Raw_Data!D4))</f>
        <v>MARKETING</v>
      </c>
      <c r="E4" t="str">
        <f>PROPER(TRIM(Raw_Data!E4))</f>
        <v>Mombasa</v>
      </c>
      <c r="F4">
        <f>Raw_Data!F4</f>
        <v>3</v>
      </c>
      <c r="G4">
        <f>Raw_Data!G4</f>
        <v>40</v>
      </c>
      <c r="H4">
        <f>Raw_Data!H4</f>
        <v>420</v>
      </c>
      <c r="I4">
        <f>Raw_Data!I4</f>
        <v>90000</v>
      </c>
      <c r="J4">
        <f>Raw_Data!J4</f>
        <v>75</v>
      </c>
      <c r="K4">
        <f t="shared" si="0"/>
        <v>16800</v>
      </c>
      <c r="L4">
        <f t="shared" si="1"/>
        <v>2000</v>
      </c>
      <c r="M4" t="str">
        <f t="shared" si="2"/>
        <v>Average</v>
      </c>
      <c r="N4" s="1">
        <f t="shared" si="3"/>
        <v>4000</v>
      </c>
      <c r="P4" t="s">
        <v>76</v>
      </c>
      <c r="Q4">
        <v>4000</v>
      </c>
    </row>
    <row r="5" spans="1:17">
      <c r="A5" s="1">
        <f>Raw_Data!A5</f>
        <v>4</v>
      </c>
      <c r="B5" t="str">
        <f>PROPER(TRIM(Raw_Data!B5))</f>
        <v>John Mwangi</v>
      </c>
      <c r="C5" t="str">
        <f>PROPER(TRIM(Raw_Data!C5))</f>
        <v>Male</v>
      </c>
      <c r="D5" t="str">
        <f>UPPER(TRIM(Raw_Data!D5))</f>
        <v>IT</v>
      </c>
      <c r="E5" t="str">
        <f>PROPER(TRIM(Raw_Data!E5))</f>
        <v>Nairobi</v>
      </c>
      <c r="F5">
        <f>Raw_Data!F5</f>
        <v>6</v>
      </c>
      <c r="G5">
        <f>Raw_Data!G5</f>
        <v>46</v>
      </c>
      <c r="H5">
        <f>Raw_Data!H5</f>
        <v>700</v>
      </c>
      <c r="I5">
        <f>Raw_Data!I5</f>
        <v>170000</v>
      </c>
      <c r="J5">
        <f>Raw_Data!J5</f>
        <v>92</v>
      </c>
      <c r="K5">
        <f t="shared" si="0"/>
        <v>32200</v>
      </c>
      <c r="L5">
        <f t="shared" si="1"/>
        <v>10000</v>
      </c>
      <c r="M5" t="str">
        <f t="shared" si="2"/>
        <v>Excellent</v>
      </c>
      <c r="N5" s="1">
        <f t="shared" si="3"/>
        <v>0</v>
      </c>
      <c r="P5" t="s">
        <v>77</v>
      </c>
      <c r="Q5">
        <v>3500</v>
      </c>
    </row>
    <row r="6" spans="1:17">
      <c r="A6" s="1">
        <f>Raw_Data!A6</f>
        <v>5</v>
      </c>
      <c r="B6" t="str">
        <f>PROPER(TRIM(Raw_Data!B6))</f>
        <v>Brian Moindi</v>
      </c>
      <c r="C6" t="str">
        <f>PROPER(TRIM(Raw_Data!C6))</f>
        <v>Male</v>
      </c>
      <c r="D6" t="str">
        <f>UPPER(TRIM(Raw_Data!D6))</f>
        <v>FINANCE</v>
      </c>
      <c r="E6" t="str">
        <f>PROPER(TRIM(Raw_Data!E6))</f>
        <v>Eldoret</v>
      </c>
      <c r="F6">
        <f>Raw_Data!F6</f>
        <v>5</v>
      </c>
      <c r="G6">
        <f>Raw_Data!G6</f>
        <v>41</v>
      </c>
      <c r="H6">
        <f>Raw_Data!H6</f>
        <v>550</v>
      </c>
      <c r="I6">
        <f>Raw_Data!I6</f>
        <v>70000</v>
      </c>
      <c r="J6">
        <f>Raw_Data!J6</f>
        <v>78</v>
      </c>
      <c r="K6">
        <f t="shared" si="0"/>
        <v>22550</v>
      </c>
      <c r="L6">
        <f t="shared" si="1"/>
        <v>2000</v>
      </c>
      <c r="M6" t="str">
        <f t="shared" si="2"/>
        <v>Average</v>
      </c>
      <c r="N6" s="1">
        <f t="shared" si="3"/>
        <v>0</v>
      </c>
      <c r="P6" t="s">
        <v>24</v>
      </c>
      <c r="Q6">
        <v>2000</v>
      </c>
    </row>
    <row r="7" spans="1:17">
      <c r="A7" s="1">
        <f>Raw_Data!A7</f>
        <v>6</v>
      </c>
      <c r="B7" t="str">
        <f>PROPER(TRIM(Raw_Data!B7))</f>
        <v>Joymary Wangare</v>
      </c>
      <c r="C7" t="str">
        <f>PROPER(TRIM(Raw_Data!C7))</f>
        <v>Female</v>
      </c>
      <c r="D7" t="str">
        <f>UPPER(TRIM(Raw_Data!D7))</f>
        <v>HR</v>
      </c>
      <c r="E7" t="str">
        <f>PROPER(TRIM(Raw_Data!E7))</f>
        <v>Nakuru</v>
      </c>
      <c r="F7">
        <f>Raw_Data!F7</f>
        <v>2</v>
      </c>
      <c r="G7">
        <f>Raw_Data!G7</f>
        <v>36</v>
      </c>
      <c r="H7">
        <f>Raw_Data!H7</f>
        <v>350</v>
      </c>
      <c r="I7">
        <f>Raw_Data!I7</f>
        <v>0</v>
      </c>
      <c r="J7">
        <f>Raw_Data!J7</f>
        <v>65</v>
      </c>
      <c r="K7">
        <f t="shared" si="0"/>
        <v>12600</v>
      </c>
      <c r="L7">
        <f t="shared" si="1"/>
        <v>2000</v>
      </c>
      <c r="M7" t="str">
        <f t="shared" si="2"/>
        <v>Average</v>
      </c>
      <c r="N7" s="1">
        <f t="shared" si="3"/>
        <v>0</v>
      </c>
    </row>
    <row r="8" spans="1:17">
      <c r="A8" s="1">
        <f>Raw_Data!A8</f>
        <v>7</v>
      </c>
      <c r="B8" t="str">
        <f>PROPER(TRIM(Raw_Data!B8))</f>
        <v>James Njuguna</v>
      </c>
      <c r="C8" t="str">
        <f>PROPER(TRIM(Raw_Data!C8))</f>
        <v>Male</v>
      </c>
      <c r="D8" t="str">
        <f>UPPER(TRIM(Raw_Data!D8))</f>
        <v>SALES</v>
      </c>
      <c r="E8" t="str">
        <f>PROPER(TRIM(Raw_Data!E8))</f>
        <v>Kisumu</v>
      </c>
      <c r="F8">
        <f>Raw_Data!F8</f>
        <v>4</v>
      </c>
      <c r="G8">
        <f>Raw_Data!G8</f>
        <v>43</v>
      </c>
      <c r="H8">
        <f>Raw_Data!H8</f>
        <v>510</v>
      </c>
      <c r="I8">
        <f>Raw_Data!I8</f>
        <v>120000</v>
      </c>
      <c r="J8">
        <f>Raw_Data!J8</f>
        <v>82</v>
      </c>
      <c r="K8">
        <f t="shared" si="0"/>
        <v>21930</v>
      </c>
      <c r="L8">
        <f t="shared" si="1"/>
        <v>5000</v>
      </c>
      <c r="M8" t="str">
        <f t="shared" si="2"/>
        <v>Good</v>
      </c>
      <c r="N8" s="1">
        <f t="shared" si="3"/>
        <v>0</v>
      </c>
      <c r="P8">
        <f>1+1</f>
        <v>2</v>
      </c>
    </row>
    <row r="9" spans="1:17">
      <c r="A9" s="1">
        <f>Raw_Data!A9</f>
        <v>8</v>
      </c>
      <c r="B9" t="str">
        <f>PROPER(TRIM(Raw_Data!B9))</f>
        <v>Charles Karanu</v>
      </c>
      <c r="C9" t="str">
        <f>PROPER(TRIM(Raw_Data!C9))</f>
        <v>Male</v>
      </c>
      <c r="D9" t="str">
        <f>UPPER(TRIM(Raw_Data!D9))</f>
        <v>IT</v>
      </c>
      <c r="E9" t="str">
        <f>PROPER(TRIM(Raw_Data!E9))</f>
        <v>Nairobi</v>
      </c>
      <c r="F9">
        <f>Raw_Data!F9</f>
        <v>7</v>
      </c>
      <c r="G9">
        <f>Raw_Data!G9</f>
        <v>48</v>
      </c>
      <c r="H9">
        <f>Raw_Data!H9</f>
        <v>720</v>
      </c>
      <c r="I9">
        <f>Raw_Data!I9</f>
        <v>175000</v>
      </c>
      <c r="J9">
        <f>Raw_Data!J9</f>
        <v>95</v>
      </c>
      <c r="K9">
        <f t="shared" si="0"/>
        <v>34560</v>
      </c>
      <c r="L9">
        <f t="shared" si="1"/>
        <v>10000</v>
      </c>
      <c r="M9" t="str">
        <f t="shared" si="2"/>
        <v>Excellent</v>
      </c>
      <c r="N9" s="1">
        <f t="shared" si="3"/>
        <v>0</v>
      </c>
      <c r="P9">
        <f>SUM(1,2)</f>
        <v>3</v>
      </c>
    </row>
    <row r="10" spans="1:17">
      <c r="A10" s="1">
        <f>Raw_Data!A10</f>
        <v>9</v>
      </c>
      <c r="B10" t="str">
        <f>PROPER(TRIM(Raw_Data!B10))</f>
        <v>David Kimani</v>
      </c>
      <c r="C10" t="str">
        <f>PROPER(TRIM(Raw_Data!C10))</f>
        <v>Male</v>
      </c>
      <c r="D10" t="str">
        <f>UPPER(TRIM(Raw_Data!D10))</f>
        <v>FINANCE</v>
      </c>
      <c r="E10" t="str">
        <f>PROPER(TRIM(Raw_Data!E10))</f>
        <v>Eldoret</v>
      </c>
      <c r="F10">
        <f>Raw_Data!F10</f>
        <v>6</v>
      </c>
      <c r="G10">
        <f>Raw_Data!G10</f>
        <v>42</v>
      </c>
      <c r="H10">
        <f>Raw_Data!H10</f>
        <v>560</v>
      </c>
      <c r="I10">
        <f>Raw_Data!I10</f>
        <v>75000</v>
      </c>
      <c r="J10">
        <f>Raw_Data!J10</f>
        <v>85</v>
      </c>
      <c r="K10">
        <f t="shared" si="0"/>
        <v>23520</v>
      </c>
      <c r="L10">
        <f t="shared" si="1"/>
        <v>5000</v>
      </c>
      <c r="M10" t="str">
        <f t="shared" si="2"/>
        <v>Good</v>
      </c>
      <c r="N10" s="1">
        <f t="shared" si="3"/>
        <v>0</v>
      </c>
    </row>
    <row r="11" spans="1:17">
      <c r="A11" s="1">
        <f>Raw_Data!A11</f>
        <v>10</v>
      </c>
      <c r="B11" t="str">
        <f>PROPER(TRIM(Raw_Data!B11))</f>
        <v>Lucy Wanjiku</v>
      </c>
      <c r="C11" t="str">
        <f>PROPER(TRIM(Raw_Data!C11))</f>
        <v>Female</v>
      </c>
      <c r="D11" t="str">
        <f>UPPER(TRIM(Raw_Data!D11))</f>
        <v>HR</v>
      </c>
      <c r="E11" t="str">
        <f>PROPER(TRIM(Raw_Data!E11))</f>
        <v>Nakuru</v>
      </c>
      <c r="F11">
        <f>Raw_Data!F11</f>
        <v>3</v>
      </c>
      <c r="G11">
        <f>Raw_Data!G11</f>
        <v>37</v>
      </c>
      <c r="H11">
        <f>Raw_Data!H11</f>
        <v>360</v>
      </c>
      <c r="I11">
        <f>Raw_Data!I11</f>
        <v>0</v>
      </c>
      <c r="J11">
        <f>Raw_Data!J11</f>
        <v>68</v>
      </c>
      <c r="K11">
        <f t="shared" si="0"/>
        <v>13320</v>
      </c>
      <c r="L11">
        <f t="shared" si="1"/>
        <v>2000</v>
      </c>
      <c r="M11" t="str">
        <f t="shared" si="2"/>
        <v>Average</v>
      </c>
      <c r="N11" s="1">
        <f t="shared" si="3"/>
        <v>0</v>
      </c>
    </row>
    <row r="12" spans="1:17">
      <c r="A12" s="1">
        <f>Raw_Data!A12</f>
        <v>11</v>
      </c>
      <c r="B12" t="str">
        <f>PROPER(TRIM(Raw_Data!B12))</f>
        <v>Kevin Kiptoo</v>
      </c>
      <c r="C12" t="str">
        <f>PROPER(TRIM(Raw_Data!C12))</f>
        <v>Male</v>
      </c>
      <c r="D12" t="str">
        <f>UPPER(TRIM(Raw_Data!D12))</f>
        <v>SALES</v>
      </c>
      <c r="E12" t="str">
        <f>PROPER(TRIM(Raw_Data!E12))</f>
        <v>Kisumu</v>
      </c>
      <c r="F12">
        <f>Raw_Data!F12</f>
        <v>4</v>
      </c>
      <c r="G12">
        <f>Raw_Data!G12</f>
        <v>41</v>
      </c>
      <c r="H12">
        <f>Raw_Data!H12</f>
        <v>500</v>
      </c>
      <c r="I12">
        <f>Raw_Data!I12</f>
        <v>115000</v>
      </c>
      <c r="J12">
        <f>Raw_Data!J12</f>
        <v>79</v>
      </c>
      <c r="K12">
        <f t="shared" si="0"/>
        <v>20500</v>
      </c>
      <c r="L12">
        <f t="shared" si="1"/>
        <v>2000</v>
      </c>
      <c r="M12" t="str">
        <f t="shared" si="2"/>
        <v>Average</v>
      </c>
      <c r="N12" s="1">
        <f t="shared" si="3"/>
        <v>0</v>
      </c>
    </row>
    <row r="13" spans="1:17">
      <c r="A13" s="1">
        <f>Raw_Data!A13</f>
        <v>12</v>
      </c>
      <c r="B13" t="str">
        <f>PROPER(TRIM(Raw_Data!B13))</f>
        <v>Susan Achieng</v>
      </c>
      <c r="C13" t="str">
        <f>PROPER(TRIM(Raw_Data!C13))</f>
        <v>Female</v>
      </c>
      <c r="D13" t="str">
        <f>UPPER(TRIM(Raw_Data!D13))</f>
        <v>MARKETING</v>
      </c>
      <c r="E13" t="str">
        <f>PROPER(TRIM(Raw_Data!E13))</f>
        <v>Mombasa</v>
      </c>
      <c r="F13">
        <f>Raw_Data!F13</f>
        <v>5</v>
      </c>
      <c r="G13">
        <f>Raw_Data!G13</f>
        <v>44</v>
      </c>
      <c r="H13">
        <f>Raw_Data!H13</f>
        <v>430</v>
      </c>
      <c r="I13">
        <f>Raw_Data!I13</f>
        <v>95000</v>
      </c>
      <c r="J13">
        <f>Raw_Data!J13</f>
        <v>83</v>
      </c>
      <c r="K13">
        <f t="shared" si="0"/>
        <v>18920</v>
      </c>
      <c r="L13">
        <f t="shared" si="1"/>
        <v>5000</v>
      </c>
      <c r="M13" t="str">
        <f t="shared" si="2"/>
        <v>Good</v>
      </c>
      <c r="N13" s="1">
        <f t="shared" si="3"/>
        <v>0</v>
      </c>
    </row>
    <row r="14" spans="1:17">
      <c r="A14" s="1">
        <f>Raw_Data!A14</f>
        <v>13</v>
      </c>
      <c r="B14" t="str">
        <f>PROPER(TRIM(Raw_Data!B14))</f>
        <v>George Mutua</v>
      </c>
      <c r="C14" t="str">
        <f>PROPER(TRIM(Raw_Data!C14))</f>
        <v>Male</v>
      </c>
      <c r="D14" t="str">
        <f>UPPER(TRIM(Raw_Data!D14))</f>
        <v>IT</v>
      </c>
      <c r="E14" t="str">
        <f>PROPER(TRIM(Raw_Data!E14))</f>
        <v>Nairobi</v>
      </c>
      <c r="F14">
        <f>Raw_Data!F14</f>
        <v>6</v>
      </c>
      <c r="G14">
        <f>Raw_Data!G14</f>
        <v>47</v>
      </c>
      <c r="H14">
        <f>Raw_Data!H14</f>
        <v>710</v>
      </c>
      <c r="I14">
        <f>Raw_Data!I14</f>
        <v>165000</v>
      </c>
      <c r="J14">
        <f>Raw_Data!J14</f>
        <v>90</v>
      </c>
      <c r="K14">
        <f t="shared" si="0"/>
        <v>33370</v>
      </c>
      <c r="L14">
        <f t="shared" si="1"/>
        <v>5000</v>
      </c>
      <c r="M14" t="str">
        <f t="shared" si="2"/>
        <v>Good</v>
      </c>
      <c r="N14" s="1">
        <f t="shared" si="3"/>
        <v>0</v>
      </c>
    </row>
    <row r="15" spans="1:17">
      <c r="A15" s="1">
        <f>Raw_Data!A15</f>
        <v>14</v>
      </c>
      <c r="B15" t="str">
        <f>PROPER(TRIM(Raw_Data!B15))</f>
        <v>Ann Njeri</v>
      </c>
      <c r="C15" t="str">
        <f>PROPER(TRIM(Raw_Data!C15))</f>
        <v>Female</v>
      </c>
      <c r="D15" t="str">
        <f>UPPER(TRIM(Raw_Data!D15))</f>
        <v>HR</v>
      </c>
      <c r="E15" t="str">
        <f>PROPER(TRIM(Raw_Data!E15))</f>
        <v>Nakuru</v>
      </c>
      <c r="F15">
        <f>Raw_Data!F15</f>
        <v>2</v>
      </c>
      <c r="G15">
        <f>Raw_Data!G15</f>
        <v>35</v>
      </c>
      <c r="H15">
        <f>Raw_Data!H15</f>
        <v>350</v>
      </c>
      <c r="I15">
        <f>Raw_Data!I15</f>
        <v>0</v>
      </c>
      <c r="J15">
        <f>Raw_Data!J15</f>
        <v>60</v>
      </c>
      <c r="K15">
        <f t="shared" si="0"/>
        <v>12250</v>
      </c>
      <c r="L15">
        <f t="shared" si="1"/>
        <v>2000</v>
      </c>
      <c r="M15" t="str">
        <f t="shared" si="2"/>
        <v>Average</v>
      </c>
      <c r="N15" s="1">
        <f t="shared" si="3"/>
        <v>0</v>
      </c>
    </row>
    <row r="16" spans="1:17">
      <c r="A16" s="1">
        <f>Raw_Data!A16</f>
        <v>15</v>
      </c>
      <c r="B16" t="str">
        <f>PROPER(TRIM(Raw_Data!B16))</f>
        <v>Paul Mwangi</v>
      </c>
      <c r="C16" t="str">
        <f>PROPER(TRIM(Raw_Data!C16))</f>
        <v>Male</v>
      </c>
      <c r="D16" t="str">
        <f>UPPER(TRIM(Raw_Data!D16))</f>
        <v>IT</v>
      </c>
      <c r="E16" t="str">
        <f>PROPER(TRIM(Raw_Data!E16))</f>
        <v>Nairobi</v>
      </c>
      <c r="F16">
        <f>Raw_Data!F16</f>
        <v>7</v>
      </c>
      <c r="G16">
        <f>Raw_Data!G16</f>
        <v>49</v>
      </c>
      <c r="H16">
        <f>Raw_Data!H16</f>
        <v>730</v>
      </c>
      <c r="I16">
        <f>Raw_Data!I16</f>
        <v>180000</v>
      </c>
      <c r="J16">
        <f>Raw_Data!J16</f>
        <v>96</v>
      </c>
      <c r="K16">
        <f t="shared" si="0"/>
        <v>35770</v>
      </c>
      <c r="L16">
        <f t="shared" si="1"/>
        <v>10000</v>
      </c>
      <c r="M16" t="str">
        <f t="shared" si="2"/>
        <v>Excellent</v>
      </c>
      <c r="N16" s="1">
        <f t="shared" si="3"/>
        <v>0</v>
      </c>
    </row>
    <row r="17" spans="1:14">
      <c r="A17" s="1">
        <f>Raw_Data!A17</f>
        <v>16</v>
      </c>
      <c r="B17" t="str">
        <f>PROPER(TRIM(Raw_Data!B17))</f>
        <v>Esther Wanjiru</v>
      </c>
      <c r="C17" t="str">
        <f>PROPER(TRIM(Raw_Data!C17))</f>
        <v>Female</v>
      </c>
      <c r="D17" t="str">
        <f>UPPER(TRIM(Raw_Data!D17))</f>
        <v>FINANCE</v>
      </c>
      <c r="E17" t="str">
        <f>PROPER(TRIM(Raw_Data!E17))</f>
        <v>Eldoret</v>
      </c>
      <c r="F17">
        <f>Raw_Data!F17</f>
        <v>5</v>
      </c>
      <c r="G17">
        <f>Raw_Data!G17</f>
        <v>40</v>
      </c>
      <c r="H17">
        <f>Raw_Data!H17</f>
        <v>540</v>
      </c>
      <c r="I17">
        <f>Raw_Data!I17</f>
        <v>72000</v>
      </c>
      <c r="J17">
        <f>Raw_Data!J17</f>
        <v>80</v>
      </c>
      <c r="K17">
        <f t="shared" si="0"/>
        <v>21600</v>
      </c>
      <c r="L17">
        <f t="shared" si="1"/>
        <v>2000</v>
      </c>
      <c r="M17" t="str">
        <f t="shared" si="2"/>
        <v>Average</v>
      </c>
      <c r="N17" s="1">
        <f t="shared" si="3"/>
        <v>0</v>
      </c>
    </row>
    <row r="18" spans="1:14">
      <c r="A18" s="1">
        <f>Raw_Data!A18</f>
        <v>17</v>
      </c>
      <c r="B18" t="str">
        <f>PROPER(TRIM(Raw_Data!B18))</f>
        <v>Alex Kiptoo</v>
      </c>
      <c r="C18" t="str">
        <f>PROPER(TRIM(Raw_Data!C18))</f>
        <v>Male</v>
      </c>
      <c r="D18" t="str">
        <f>UPPER(TRIM(Raw_Data!D18))</f>
        <v>SALES</v>
      </c>
      <c r="E18" t="str">
        <f>PROPER(TRIM(Raw_Data!E18))</f>
        <v>Kisumu</v>
      </c>
      <c r="F18">
        <f>Raw_Data!F18</f>
        <v>3</v>
      </c>
      <c r="G18">
        <f>Raw_Data!G18</f>
        <v>39</v>
      </c>
      <c r="H18">
        <f>Raw_Data!H18</f>
        <v>495</v>
      </c>
      <c r="I18">
        <f>Raw_Data!I18</f>
        <v>110000</v>
      </c>
      <c r="J18">
        <f>Raw_Data!J18</f>
        <v>77</v>
      </c>
      <c r="K18">
        <f t="shared" si="0"/>
        <v>19305</v>
      </c>
      <c r="L18">
        <f t="shared" si="1"/>
        <v>2000</v>
      </c>
      <c r="M18" t="str">
        <f t="shared" si="2"/>
        <v>Average</v>
      </c>
      <c r="N18" s="1">
        <f t="shared" si="3"/>
        <v>0</v>
      </c>
    </row>
    <row r="19" spans="1:14">
      <c r="A19" s="1">
        <f>Raw_Data!A19</f>
        <v>18</v>
      </c>
      <c r="B19" t="str">
        <f>PROPER(TRIM(Raw_Data!B19))</f>
        <v>Ruth Chebet</v>
      </c>
      <c r="C19" t="str">
        <f>PROPER(TRIM(Raw_Data!C19))</f>
        <v>Female</v>
      </c>
      <c r="D19" t="str">
        <f>UPPER(TRIM(Raw_Data!D19))</f>
        <v>MARKETING</v>
      </c>
      <c r="E19" t="str">
        <f>PROPER(TRIM(Raw_Data!E19))</f>
        <v>Mombasa</v>
      </c>
      <c r="F19">
        <f>Raw_Data!F19</f>
        <v>4</v>
      </c>
      <c r="G19">
        <f>Raw_Data!G19</f>
        <v>42</v>
      </c>
      <c r="H19">
        <f>Raw_Data!H19</f>
        <v>425</v>
      </c>
      <c r="I19">
        <f>Raw_Data!I19</f>
        <v>92000</v>
      </c>
      <c r="J19">
        <f>Raw_Data!J19</f>
        <v>81</v>
      </c>
      <c r="K19">
        <f t="shared" si="0"/>
        <v>17850</v>
      </c>
      <c r="L19">
        <f t="shared" si="1"/>
        <v>5000</v>
      </c>
      <c r="M19" t="str">
        <f t="shared" si="2"/>
        <v>Good</v>
      </c>
      <c r="N19" s="1">
        <f t="shared" si="3"/>
        <v>0</v>
      </c>
    </row>
    <row r="20" spans="1:14">
      <c r="A20" s="1">
        <f>Raw_Data!A20</f>
        <v>19</v>
      </c>
      <c r="B20" t="str">
        <f>PROPER(TRIM(Raw_Data!B20))</f>
        <v>Mark Otieno</v>
      </c>
      <c r="C20" t="str">
        <f>PROPER(TRIM(Raw_Data!C20))</f>
        <v>Male</v>
      </c>
      <c r="D20" t="str">
        <f>UPPER(TRIM(Raw_Data!D20))</f>
        <v>MARKETING</v>
      </c>
      <c r="E20" t="str">
        <f>PROPER(TRIM(Raw_Data!E20))</f>
        <v>Mombasa</v>
      </c>
      <c r="F20">
        <f>Raw_Data!F20</f>
        <v>5</v>
      </c>
      <c r="G20">
        <f>Raw_Data!G20</f>
        <v>45</v>
      </c>
      <c r="H20">
        <f>Raw_Data!H20</f>
        <v>430</v>
      </c>
      <c r="I20">
        <f>Raw_Data!I20</f>
        <v>97000</v>
      </c>
      <c r="J20">
        <f>Raw_Data!J20</f>
        <v>84</v>
      </c>
      <c r="K20">
        <f t="shared" si="0"/>
        <v>19350</v>
      </c>
      <c r="L20">
        <f t="shared" si="1"/>
        <v>5000</v>
      </c>
      <c r="M20" t="str">
        <f t="shared" si="2"/>
        <v>Good</v>
      </c>
      <c r="N20" s="1">
        <f t="shared" si="3"/>
        <v>0</v>
      </c>
    </row>
    <row r="21" spans="1:14">
      <c r="A21" s="1">
        <f>Raw_Data!A21</f>
        <v>20</v>
      </c>
      <c r="B21" t="str">
        <f>PROPER(TRIM(Raw_Data!B21))</f>
        <v>Nancy Njeri</v>
      </c>
      <c r="C21" t="str">
        <f>PROPER(TRIM(Raw_Data!C21))</f>
        <v>Female</v>
      </c>
      <c r="D21" t="str">
        <f>UPPER(TRIM(Raw_Data!D21))</f>
        <v>HR</v>
      </c>
      <c r="E21" t="str">
        <f>PROPER(TRIM(Raw_Data!E21))</f>
        <v>Nakuru</v>
      </c>
      <c r="F21">
        <f>Raw_Data!F21</f>
        <v>3</v>
      </c>
      <c r="G21">
        <f>Raw_Data!G21</f>
        <v>36</v>
      </c>
      <c r="H21">
        <f>Raw_Data!H21</f>
        <v>355</v>
      </c>
      <c r="I21">
        <f>Raw_Data!I21</f>
        <v>0</v>
      </c>
      <c r="J21">
        <f>Raw_Data!J21</f>
        <v>66</v>
      </c>
      <c r="K21">
        <f t="shared" si="0"/>
        <v>12780</v>
      </c>
      <c r="L21">
        <f t="shared" si="1"/>
        <v>2000</v>
      </c>
      <c r="M21" t="str">
        <f t="shared" si="2"/>
        <v>Average</v>
      </c>
      <c r="N21" s="1">
        <f t="shared" si="3"/>
        <v>0</v>
      </c>
    </row>
    <row r="22" spans="1:14">
      <c r="A22" s="1">
        <f>Raw_Data!A22</f>
        <v>21</v>
      </c>
      <c r="B22" t="str">
        <f>PROPER(TRIM(Raw_Data!B22))</f>
        <v>Eric Mwangi</v>
      </c>
      <c r="C22" t="str">
        <f>PROPER(TRIM(Raw_Data!C22))</f>
        <v>Male</v>
      </c>
      <c r="D22" t="str">
        <f>UPPER(TRIM(Raw_Data!D22))</f>
        <v>IT</v>
      </c>
      <c r="E22" t="str">
        <f>PROPER(TRIM(Raw_Data!E22))</f>
        <v>Nairobi</v>
      </c>
      <c r="F22">
        <f>Raw_Data!F22</f>
        <v>8</v>
      </c>
      <c r="G22">
        <f>Raw_Data!G22</f>
        <v>50</v>
      </c>
      <c r="H22">
        <f>Raw_Data!H22</f>
        <v>740</v>
      </c>
      <c r="I22">
        <f>Raw_Data!I22</f>
        <v>185000</v>
      </c>
      <c r="J22">
        <f>Raw_Data!J22</f>
        <v>97</v>
      </c>
      <c r="K22">
        <f t="shared" si="0"/>
        <v>37000</v>
      </c>
      <c r="L22">
        <f t="shared" si="1"/>
        <v>10000</v>
      </c>
      <c r="M22" t="str">
        <f t="shared" si="2"/>
        <v>Excellent</v>
      </c>
      <c r="N22" s="1">
        <f t="shared" si="3"/>
        <v>0</v>
      </c>
    </row>
    <row r="23" spans="1:14">
      <c r="A23" s="1">
        <f>Raw_Data!A23</f>
        <v>22</v>
      </c>
      <c r="B23" t="str">
        <f>PROPER(TRIM(Raw_Data!B23))</f>
        <v>Faith Chebet</v>
      </c>
      <c r="C23" t="str">
        <f>PROPER(TRIM(Raw_Data!C23))</f>
        <v>Female</v>
      </c>
      <c r="D23" t="str">
        <f>UPPER(TRIM(Raw_Data!D23))</f>
        <v>MARKETING</v>
      </c>
      <c r="E23" t="str">
        <f>PROPER(TRIM(Raw_Data!E23))</f>
        <v>Mombasa</v>
      </c>
      <c r="F23">
        <f>Raw_Data!F23</f>
        <v>4</v>
      </c>
      <c r="G23">
        <f>Raw_Data!G23</f>
        <v>41</v>
      </c>
      <c r="H23">
        <f>Raw_Data!H23</f>
        <v>420</v>
      </c>
      <c r="I23">
        <f>Raw_Data!I23</f>
        <v>91000</v>
      </c>
      <c r="J23">
        <f>Raw_Data!J23</f>
        <v>79</v>
      </c>
      <c r="K23">
        <f t="shared" si="0"/>
        <v>17220</v>
      </c>
      <c r="L23">
        <f t="shared" si="1"/>
        <v>2000</v>
      </c>
      <c r="M23" t="str">
        <f t="shared" si="2"/>
        <v>Average</v>
      </c>
      <c r="N23" s="1">
        <f t="shared" si="3"/>
        <v>0</v>
      </c>
    </row>
    <row r="24" spans="1:14">
      <c r="A24" s="1">
        <f>Raw_Data!A24</f>
        <v>23</v>
      </c>
      <c r="B24" t="str">
        <f>PROPER(TRIM(Raw_Data!B24))</f>
        <v>Victor Mwangi</v>
      </c>
      <c r="C24" t="str">
        <f>PROPER(TRIM(Raw_Data!C24))</f>
        <v>Male</v>
      </c>
      <c r="D24" t="str">
        <f>UPPER(TRIM(Raw_Data!D24))</f>
        <v>IT</v>
      </c>
      <c r="E24" t="str">
        <f>PROPER(TRIM(Raw_Data!E24))</f>
        <v>Nairobi</v>
      </c>
      <c r="F24">
        <f>Raw_Data!F24</f>
        <v>6</v>
      </c>
      <c r="G24">
        <f>Raw_Data!G24</f>
        <v>46</v>
      </c>
      <c r="H24">
        <f>Raw_Data!H24</f>
        <v>705</v>
      </c>
      <c r="I24">
        <f>Raw_Data!I24</f>
        <v>168000</v>
      </c>
      <c r="J24">
        <f>Raw_Data!J24</f>
        <v>91</v>
      </c>
      <c r="K24">
        <f t="shared" si="0"/>
        <v>32430</v>
      </c>
      <c r="L24">
        <f t="shared" si="1"/>
        <v>10000</v>
      </c>
      <c r="M24" t="str">
        <f t="shared" si="2"/>
        <v>Excellent</v>
      </c>
      <c r="N24" s="1">
        <f t="shared" si="3"/>
        <v>0</v>
      </c>
    </row>
    <row r="25" spans="1:14">
      <c r="A25" s="1">
        <f>Raw_Data!A25</f>
        <v>24</v>
      </c>
      <c r="B25" t="str">
        <f>PROPER(TRIM(Raw_Data!B25))</f>
        <v>Cynthia Njeri</v>
      </c>
      <c r="C25" t="str">
        <f>PROPER(TRIM(Raw_Data!C25))</f>
        <v>Female</v>
      </c>
      <c r="D25" t="str">
        <f>UPPER(TRIM(Raw_Data!D25))</f>
        <v>HR</v>
      </c>
      <c r="E25" t="str">
        <f>PROPER(TRIM(Raw_Data!E25))</f>
        <v>Nakuru</v>
      </c>
      <c r="F25">
        <f>Raw_Data!F25</f>
        <v>2</v>
      </c>
      <c r="G25">
        <f>Raw_Data!G25</f>
        <v>34</v>
      </c>
      <c r="H25">
        <f>Raw_Data!H25</f>
        <v>345</v>
      </c>
      <c r="I25">
        <f>Raw_Data!I25</f>
        <v>0</v>
      </c>
      <c r="J25">
        <f>Raw_Data!J25</f>
        <v>62</v>
      </c>
      <c r="K25">
        <f t="shared" si="0"/>
        <v>11730</v>
      </c>
      <c r="L25">
        <f t="shared" si="1"/>
        <v>2000</v>
      </c>
      <c r="M25" t="str">
        <f t="shared" si="2"/>
        <v>Average</v>
      </c>
      <c r="N25" s="1">
        <f t="shared" si="3"/>
        <v>0</v>
      </c>
    </row>
    <row r="26" spans="1:14">
      <c r="A26" s="1">
        <f>Raw_Data!A26</f>
        <v>25</v>
      </c>
      <c r="B26" t="str">
        <f>PROPER(TRIM(Raw_Data!B26))</f>
        <v>Isaac Kirui</v>
      </c>
      <c r="C26" t="str">
        <f>PROPER(TRIM(Raw_Data!C26))</f>
        <v>Male</v>
      </c>
      <c r="D26" t="str">
        <f>UPPER(TRIM(Raw_Data!D26))</f>
        <v>FINANCE</v>
      </c>
      <c r="E26" t="str">
        <f>PROPER(TRIM(Raw_Data!E26))</f>
        <v>Eldoret</v>
      </c>
      <c r="F26">
        <f>Raw_Data!F26</f>
        <v>5</v>
      </c>
      <c r="G26">
        <f>Raw_Data!G26</f>
        <v>43</v>
      </c>
      <c r="H26">
        <f>Raw_Data!H26</f>
        <v>560</v>
      </c>
      <c r="I26">
        <f>Raw_Data!I26</f>
        <v>76000</v>
      </c>
      <c r="J26">
        <f>Raw_Data!J26</f>
        <v>86</v>
      </c>
      <c r="K26">
        <f t="shared" si="0"/>
        <v>24080</v>
      </c>
      <c r="L26">
        <f t="shared" si="1"/>
        <v>5000</v>
      </c>
      <c r="M26" t="str">
        <f t="shared" si="2"/>
        <v>Good</v>
      </c>
      <c r="N26" s="1">
        <f t="shared" si="3"/>
        <v>0</v>
      </c>
    </row>
    <row r="27" spans="1:14">
      <c r="A27" s="1">
        <f>Raw_Data!A27</f>
        <v>26</v>
      </c>
      <c r="B27" t="str">
        <f>PROPER(TRIM(Raw_Data!B27))</f>
        <v>Lilian Atieno</v>
      </c>
      <c r="C27" t="str">
        <f>PROPER(TRIM(Raw_Data!C27))</f>
        <v>Female</v>
      </c>
      <c r="D27" t="str">
        <f>UPPER(TRIM(Raw_Data!D27))</f>
        <v>SALES</v>
      </c>
      <c r="E27" t="str">
        <f>PROPER(TRIM(Raw_Data!E27))</f>
        <v>Kisumu</v>
      </c>
      <c r="F27">
        <f>Raw_Data!F27</f>
        <v>4</v>
      </c>
      <c r="G27">
        <f>Raw_Data!G27</f>
        <v>40</v>
      </c>
      <c r="H27">
        <f>Raw_Data!H27</f>
        <v>500</v>
      </c>
      <c r="I27">
        <f>Raw_Data!I27</f>
        <v>112000</v>
      </c>
      <c r="J27">
        <f>Raw_Data!J27</f>
        <v>78</v>
      </c>
      <c r="K27">
        <f t="shared" si="0"/>
        <v>20000</v>
      </c>
      <c r="L27">
        <f t="shared" si="1"/>
        <v>2000</v>
      </c>
      <c r="M27" t="str">
        <f t="shared" si="2"/>
        <v>Average</v>
      </c>
      <c r="N27" s="1">
        <f t="shared" si="3"/>
        <v>0</v>
      </c>
    </row>
    <row r="28" spans="1:14">
      <c r="A28" s="1">
        <f>Raw_Data!A28</f>
        <v>27</v>
      </c>
      <c r="B28" t="str">
        <f>PROPER(TRIM(Raw_Data!B28))</f>
        <v>Oscar Mutiso</v>
      </c>
      <c r="C28" t="str">
        <f>PROPER(TRIM(Raw_Data!C28))</f>
        <v>Male</v>
      </c>
      <c r="D28" t="str">
        <f>UPPER(TRIM(Raw_Data!D28))</f>
        <v>MARKETING</v>
      </c>
      <c r="E28" t="str">
        <f>PROPER(TRIM(Raw_Data!E28))</f>
        <v>Mombasa</v>
      </c>
      <c r="F28">
        <f>Raw_Data!F28</f>
        <v>5</v>
      </c>
      <c r="G28">
        <f>Raw_Data!G28</f>
        <v>44</v>
      </c>
      <c r="H28">
        <f>Raw_Data!H28</f>
        <v>435</v>
      </c>
      <c r="I28">
        <f>Raw_Data!I28</f>
        <v>94000</v>
      </c>
      <c r="J28">
        <f>Raw_Data!J28</f>
        <v>82</v>
      </c>
      <c r="K28">
        <f t="shared" si="0"/>
        <v>19140</v>
      </c>
      <c r="L28">
        <f t="shared" si="1"/>
        <v>5000</v>
      </c>
      <c r="M28" t="str">
        <f t="shared" si="2"/>
        <v>Good</v>
      </c>
      <c r="N28" s="1">
        <f t="shared" si="3"/>
        <v>0</v>
      </c>
    </row>
    <row r="29" spans="1:14">
      <c r="A29" s="1">
        <f>Raw_Data!A29</f>
        <v>28</v>
      </c>
      <c r="B29" t="str">
        <f>PROPER(TRIM(Raw_Data!B29))</f>
        <v>Henry Mwangi</v>
      </c>
      <c r="C29" t="str">
        <f>PROPER(TRIM(Raw_Data!C29))</f>
        <v>Male</v>
      </c>
      <c r="D29" t="str">
        <f>UPPER(TRIM(Raw_Data!D29))</f>
        <v>IT</v>
      </c>
      <c r="E29" t="str">
        <f>PROPER(TRIM(Raw_Data!E29))</f>
        <v>Nairobi</v>
      </c>
      <c r="F29">
        <f>Raw_Data!F29</f>
        <v>7</v>
      </c>
      <c r="G29">
        <f>Raw_Data!G29</f>
        <v>48</v>
      </c>
      <c r="H29">
        <f>Raw_Data!H29</f>
        <v>720</v>
      </c>
      <c r="I29">
        <f>Raw_Data!I29</f>
        <v>176000</v>
      </c>
      <c r="J29">
        <f>Raw_Data!J29</f>
        <v>95</v>
      </c>
      <c r="K29">
        <f t="shared" si="0"/>
        <v>34560</v>
      </c>
      <c r="L29">
        <f t="shared" si="1"/>
        <v>10000</v>
      </c>
      <c r="M29" t="str">
        <f t="shared" si="2"/>
        <v>Excellent</v>
      </c>
      <c r="N29" s="1">
        <f t="shared" si="3"/>
        <v>0</v>
      </c>
    </row>
    <row r="30" spans="1:14">
      <c r="A30" s="1">
        <f>Raw_Data!A30</f>
        <v>29</v>
      </c>
      <c r="B30" t="str">
        <f>PROPER(TRIM(Raw_Data!B30))</f>
        <v>Diana Chebet</v>
      </c>
      <c r="C30" t="str">
        <f>PROPER(TRIM(Raw_Data!C30))</f>
        <v>Female</v>
      </c>
      <c r="D30" t="str">
        <f>UPPER(TRIM(Raw_Data!D30))</f>
        <v>FINANCE</v>
      </c>
      <c r="E30" t="str">
        <f>PROPER(TRIM(Raw_Data!E30))</f>
        <v>Eldoret</v>
      </c>
      <c r="F30">
        <f>Raw_Data!F30</f>
        <v>4</v>
      </c>
      <c r="G30">
        <f>Raw_Data!G30</f>
        <v>39</v>
      </c>
      <c r="H30">
        <f>Raw_Data!H30</f>
        <v>545</v>
      </c>
      <c r="I30">
        <f>Raw_Data!I30</f>
        <v>71000</v>
      </c>
      <c r="J30">
        <f>Raw_Data!J30</f>
        <v>79</v>
      </c>
      <c r="K30">
        <f t="shared" si="0"/>
        <v>21255</v>
      </c>
      <c r="L30">
        <f t="shared" si="1"/>
        <v>2000</v>
      </c>
      <c r="M30" t="str">
        <f t="shared" si="2"/>
        <v>Average</v>
      </c>
      <c r="N30" s="1">
        <f t="shared" si="3"/>
        <v>0</v>
      </c>
    </row>
    <row r="31" spans="1:14">
      <c r="A31" s="1">
        <f>Raw_Data!A31</f>
        <v>30</v>
      </c>
      <c r="B31" t="str">
        <f>PROPER(TRIM(Raw_Data!B31))</f>
        <v>Martin Kiptoo</v>
      </c>
      <c r="C31" t="str">
        <f>PROPER(TRIM(Raw_Data!C31))</f>
        <v>Male</v>
      </c>
      <c r="D31" t="str">
        <f>UPPER(TRIM(Raw_Data!D31))</f>
        <v>SALES</v>
      </c>
      <c r="E31" t="str">
        <f>PROPER(TRIM(Raw_Data!E31))</f>
        <v>Kisumu</v>
      </c>
      <c r="F31">
        <f>Raw_Data!F31</f>
        <v>3</v>
      </c>
      <c r="G31">
        <f>Raw_Data!G31</f>
        <v>38</v>
      </c>
      <c r="H31">
        <f>Raw_Data!H31</f>
        <v>490</v>
      </c>
      <c r="I31">
        <f>Raw_Data!I31</f>
        <v>108000</v>
      </c>
      <c r="J31">
        <f>Raw_Data!J31</f>
        <v>76</v>
      </c>
      <c r="K31">
        <f t="shared" si="0"/>
        <v>18620</v>
      </c>
      <c r="L31">
        <f t="shared" si="1"/>
        <v>2000</v>
      </c>
      <c r="M31" t="str">
        <f t="shared" si="2"/>
        <v>Average</v>
      </c>
      <c r="N31" s="1">
        <f t="shared" si="3"/>
        <v>0</v>
      </c>
    </row>
    <row r="32" spans="1:14">
      <c r="A32" s="1">
        <f>Raw_Data!A32</f>
        <v>31</v>
      </c>
      <c r="B32" t="str">
        <f>PROPER(TRIM(Raw_Data!B32))</f>
        <v>Brenda Wanjiru</v>
      </c>
      <c r="C32" t="str">
        <f>PROPER(TRIM(Raw_Data!C32))</f>
        <v>Female</v>
      </c>
      <c r="D32" t="str">
        <f>UPPER(TRIM(Raw_Data!D32))</f>
        <v>MARKETING</v>
      </c>
      <c r="E32" t="str">
        <f>PROPER(TRIM(Raw_Data!E32))</f>
        <v>Mombasa</v>
      </c>
      <c r="F32">
        <f>Raw_Data!F32</f>
        <v>5</v>
      </c>
      <c r="G32">
        <f>Raw_Data!G32</f>
        <v>43</v>
      </c>
      <c r="H32">
        <f>Raw_Data!H32</f>
        <v>430</v>
      </c>
      <c r="I32">
        <f>Raw_Data!I32</f>
        <v>96000</v>
      </c>
      <c r="J32">
        <f>Raw_Data!J32</f>
        <v>84</v>
      </c>
      <c r="K32">
        <f t="shared" si="0"/>
        <v>18490</v>
      </c>
      <c r="L32">
        <f t="shared" si="1"/>
        <v>5000</v>
      </c>
      <c r="M32" t="str">
        <f t="shared" si="2"/>
        <v>Good</v>
      </c>
      <c r="N32" s="1">
        <f t="shared" si="3"/>
        <v>0</v>
      </c>
    </row>
    <row r="33" spans="1:14">
      <c r="A33" s="1">
        <f>Raw_Data!A33</f>
        <v>32</v>
      </c>
      <c r="B33" t="str">
        <f>PROPER(TRIM(Raw_Data!B33))</f>
        <v>Charles Mutua</v>
      </c>
      <c r="C33" t="str">
        <f>PROPER(TRIM(Raw_Data!C33))</f>
        <v>Male</v>
      </c>
      <c r="D33" t="str">
        <f>UPPER(TRIM(Raw_Data!D33))</f>
        <v>IT</v>
      </c>
      <c r="E33" t="str">
        <f>PROPER(TRIM(Raw_Data!E33))</f>
        <v>Nairobi</v>
      </c>
      <c r="F33">
        <f>Raw_Data!F33</f>
        <v>6</v>
      </c>
      <c r="G33">
        <f>Raw_Data!G33</f>
        <v>47</v>
      </c>
      <c r="H33">
        <f>Raw_Data!H33</f>
        <v>710</v>
      </c>
      <c r="I33">
        <f>Raw_Data!I33</f>
        <v>169000</v>
      </c>
      <c r="J33">
        <f>Raw_Data!J33</f>
        <v>92</v>
      </c>
      <c r="K33">
        <f t="shared" si="0"/>
        <v>33370</v>
      </c>
      <c r="L33">
        <f t="shared" si="1"/>
        <v>10000</v>
      </c>
      <c r="M33" t="str">
        <f t="shared" si="2"/>
        <v>Excellent</v>
      </c>
      <c r="N33" s="1">
        <f t="shared" si="3"/>
        <v>0</v>
      </c>
    </row>
    <row r="34" spans="1:14">
      <c r="A34" s="1">
        <f>Raw_Data!A34</f>
        <v>33</v>
      </c>
      <c r="B34" t="str">
        <f>PROPER(TRIM(Raw_Data!B34))</f>
        <v>Edith Njeri</v>
      </c>
      <c r="C34" t="str">
        <f>PROPER(TRIM(Raw_Data!C34))</f>
        <v>Female</v>
      </c>
      <c r="D34" t="str">
        <f>UPPER(TRIM(Raw_Data!D34))</f>
        <v>HR</v>
      </c>
      <c r="E34" t="str">
        <f>PROPER(TRIM(Raw_Data!E34))</f>
        <v>Nakuru</v>
      </c>
      <c r="F34">
        <f>Raw_Data!F34</f>
        <v>2</v>
      </c>
      <c r="G34">
        <f>Raw_Data!G34</f>
        <v>35</v>
      </c>
      <c r="H34">
        <f>Raw_Data!H34</f>
        <v>350</v>
      </c>
      <c r="I34">
        <f>Raw_Data!I34</f>
        <v>0</v>
      </c>
      <c r="J34">
        <f>Raw_Data!J34</f>
        <v>61</v>
      </c>
      <c r="K34">
        <f t="shared" si="0"/>
        <v>12250</v>
      </c>
      <c r="L34">
        <f t="shared" si="1"/>
        <v>2000</v>
      </c>
      <c r="M34" t="str">
        <f t="shared" si="2"/>
        <v>Average</v>
      </c>
      <c r="N34" s="1">
        <f t="shared" si="3"/>
        <v>0</v>
      </c>
    </row>
    <row r="35" spans="1:14">
      <c r="A35" s="1">
        <f>Raw_Data!A35</f>
        <v>34</v>
      </c>
      <c r="B35" t="str">
        <f>PROPER(TRIM(Raw_Data!B35))</f>
        <v>Kelvin Kirui</v>
      </c>
      <c r="C35" t="str">
        <f>PROPER(TRIM(Raw_Data!C35))</f>
        <v>Male</v>
      </c>
      <c r="D35" t="str">
        <f>UPPER(TRIM(Raw_Data!D35))</f>
        <v>FINANCE</v>
      </c>
      <c r="E35" t="str">
        <f>PROPER(TRIM(Raw_Data!E35))</f>
        <v>Eldoret</v>
      </c>
      <c r="F35">
        <f>Raw_Data!F35</f>
        <v>5</v>
      </c>
      <c r="G35">
        <f>Raw_Data!G35</f>
        <v>42</v>
      </c>
      <c r="H35">
        <f>Raw_Data!H35</f>
        <v>555</v>
      </c>
      <c r="I35">
        <f>Raw_Data!I35</f>
        <v>74000</v>
      </c>
      <c r="J35">
        <f>Raw_Data!J35</f>
        <v>83</v>
      </c>
      <c r="K35">
        <f t="shared" si="0"/>
        <v>23310</v>
      </c>
      <c r="L35">
        <f t="shared" si="1"/>
        <v>5000</v>
      </c>
      <c r="M35" t="str">
        <f t="shared" si="2"/>
        <v>Good</v>
      </c>
      <c r="N35" s="1">
        <f t="shared" si="3"/>
        <v>0</v>
      </c>
    </row>
    <row r="36" spans="1:14">
      <c r="A36" s="1">
        <f>Raw_Data!A36</f>
        <v>35</v>
      </c>
      <c r="B36" t="str">
        <f>PROPER(TRIM(Raw_Data!B36))</f>
        <v>Purity Atieno</v>
      </c>
      <c r="C36" t="str">
        <f>PROPER(TRIM(Raw_Data!C36))</f>
        <v>Female</v>
      </c>
      <c r="D36" t="str">
        <f>UPPER(TRIM(Raw_Data!D36))</f>
        <v>SALES</v>
      </c>
      <c r="E36" t="str">
        <f>PROPER(TRIM(Raw_Data!E36))</f>
        <v>Kisumu</v>
      </c>
      <c r="F36">
        <f>Raw_Data!F36</f>
        <v>4</v>
      </c>
      <c r="G36">
        <f>Raw_Data!G36</f>
        <v>40</v>
      </c>
      <c r="H36">
        <f>Raw_Data!H36</f>
        <v>500</v>
      </c>
      <c r="I36">
        <f>Raw_Data!I36</f>
        <v>114000</v>
      </c>
      <c r="J36">
        <f>Raw_Data!J36</f>
        <v>80</v>
      </c>
      <c r="K36">
        <f t="shared" si="0"/>
        <v>20000</v>
      </c>
      <c r="L36">
        <f t="shared" si="1"/>
        <v>2000</v>
      </c>
      <c r="M36" t="str">
        <f t="shared" si="2"/>
        <v>Average</v>
      </c>
      <c r="N36" s="1">
        <f t="shared" si="3"/>
        <v>0</v>
      </c>
    </row>
    <row r="37" spans="1:14">
      <c r="A37" s="1">
        <f>Raw_Data!A37</f>
        <v>36</v>
      </c>
      <c r="B37" t="str">
        <f>PROPER(TRIM(Raw_Data!B37))</f>
        <v>Dan Mwangi</v>
      </c>
      <c r="C37" t="str">
        <f>PROPER(TRIM(Raw_Data!C37))</f>
        <v>Male</v>
      </c>
      <c r="D37" t="str">
        <f>UPPER(TRIM(Raw_Data!D37))</f>
        <v>MARKETING</v>
      </c>
      <c r="E37" t="str">
        <f>PROPER(TRIM(Raw_Data!E37))</f>
        <v>Mombasa</v>
      </c>
      <c r="F37">
        <f>Raw_Data!F37</f>
        <v>5</v>
      </c>
      <c r="G37">
        <f>Raw_Data!G37</f>
        <v>44</v>
      </c>
      <c r="H37">
        <f>Raw_Data!H37</f>
        <v>435</v>
      </c>
      <c r="I37">
        <f>Raw_Data!I37</f>
        <v>95000</v>
      </c>
      <c r="J37">
        <f>Raw_Data!J37</f>
        <v>85</v>
      </c>
      <c r="K37">
        <f t="shared" si="0"/>
        <v>19140</v>
      </c>
      <c r="L37">
        <f t="shared" si="1"/>
        <v>5000</v>
      </c>
      <c r="M37" t="str">
        <f t="shared" si="2"/>
        <v>Good</v>
      </c>
      <c r="N37" s="1">
        <f t="shared" si="3"/>
        <v>0</v>
      </c>
    </row>
    <row r="38" spans="1:14">
      <c r="A38" s="1">
        <f>Raw_Data!A38</f>
        <v>37</v>
      </c>
      <c r="B38" t="str">
        <f>PROPER(TRIM(Raw_Data!B38))</f>
        <v>Samson Mutiso</v>
      </c>
      <c r="C38" t="str">
        <f>PROPER(TRIM(Raw_Data!C38))</f>
        <v>Male</v>
      </c>
      <c r="D38" t="str">
        <f>UPPER(TRIM(Raw_Data!D38))</f>
        <v>IT</v>
      </c>
      <c r="E38" t="str">
        <f>PROPER(TRIM(Raw_Data!E38))</f>
        <v>Nairobi</v>
      </c>
      <c r="F38">
        <f>Raw_Data!F38</f>
        <v>7</v>
      </c>
      <c r="G38">
        <f>Raw_Data!G38</f>
        <v>48</v>
      </c>
      <c r="H38">
        <f>Raw_Data!H38</f>
        <v>725</v>
      </c>
      <c r="I38">
        <f>Raw_Data!I38</f>
        <v>178000</v>
      </c>
      <c r="J38">
        <f>Raw_Data!J38</f>
        <v>96</v>
      </c>
      <c r="K38">
        <f t="shared" si="0"/>
        <v>34800</v>
      </c>
      <c r="L38">
        <f t="shared" si="1"/>
        <v>10000</v>
      </c>
      <c r="M38" t="str">
        <f t="shared" si="2"/>
        <v>Excellent</v>
      </c>
      <c r="N38" s="1">
        <f t="shared" si="3"/>
        <v>0</v>
      </c>
    </row>
    <row r="39" spans="1:14">
      <c r="A39" s="1">
        <f>Raw_Data!A39</f>
        <v>38</v>
      </c>
      <c r="B39" t="str">
        <f>PROPER(TRIM(Raw_Data!B39))</f>
        <v>Rachel Chebet</v>
      </c>
      <c r="C39" t="str">
        <f>PROPER(TRIM(Raw_Data!C39))</f>
        <v>Female</v>
      </c>
      <c r="D39" t="str">
        <f>UPPER(TRIM(Raw_Data!D39))</f>
        <v>FINANCE</v>
      </c>
      <c r="E39" t="str">
        <f>PROPER(TRIM(Raw_Data!E39))</f>
        <v>Eldoret</v>
      </c>
      <c r="F39">
        <f>Raw_Data!F39</f>
        <v>4</v>
      </c>
      <c r="G39">
        <f>Raw_Data!G39</f>
        <v>39</v>
      </c>
      <c r="H39">
        <f>Raw_Data!H39</f>
        <v>540</v>
      </c>
      <c r="I39">
        <f>Raw_Data!I39</f>
        <v>70500</v>
      </c>
      <c r="J39">
        <f>Raw_Data!J39</f>
        <v>78</v>
      </c>
      <c r="K39">
        <f t="shared" si="0"/>
        <v>21060</v>
      </c>
      <c r="L39">
        <f t="shared" si="1"/>
        <v>2000</v>
      </c>
      <c r="M39" t="str">
        <f t="shared" si="2"/>
        <v>Average</v>
      </c>
      <c r="N39" s="1">
        <f t="shared" si="3"/>
        <v>0</v>
      </c>
    </row>
    <row r="40" spans="1:14">
      <c r="A40" s="1">
        <f>Raw_Data!A40</f>
        <v>39</v>
      </c>
      <c r="B40" t="str">
        <f>PROPER(TRIM(Raw_Data!B40))</f>
        <v>Allan Kiptoo</v>
      </c>
      <c r="C40" t="str">
        <f>PROPER(TRIM(Raw_Data!C40))</f>
        <v>Male</v>
      </c>
      <c r="D40" t="str">
        <f>UPPER(TRIM(Raw_Data!D40))</f>
        <v>SALES</v>
      </c>
      <c r="E40" t="str">
        <f>PROPER(TRIM(Raw_Data!E40))</f>
        <v>Kisumu</v>
      </c>
      <c r="F40">
        <f>Raw_Data!F40</f>
        <v>3</v>
      </c>
      <c r="G40">
        <f>Raw_Data!G40</f>
        <v>38</v>
      </c>
      <c r="H40">
        <f>Raw_Data!H40</f>
        <v>495</v>
      </c>
      <c r="I40">
        <f>Raw_Data!I40</f>
        <v>109000</v>
      </c>
      <c r="J40">
        <f>Raw_Data!J40</f>
        <v>77</v>
      </c>
      <c r="K40">
        <f t="shared" si="0"/>
        <v>18810</v>
      </c>
      <c r="L40">
        <f t="shared" si="1"/>
        <v>2000</v>
      </c>
      <c r="M40" t="str">
        <f t="shared" si="2"/>
        <v>Average</v>
      </c>
      <c r="N40" s="1">
        <f t="shared" si="3"/>
        <v>0</v>
      </c>
    </row>
    <row r="41" spans="1:14">
      <c r="A41" s="1">
        <f>Raw_Data!A41</f>
        <v>40</v>
      </c>
      <c r="B41" t="str">
        <f>PROPER(TRIM(Raw_Data!B41))</f>
        <v>Ivy Wanjiru</v>
      </c>
      <c r="C41" t="str">
        <f>PROPER(TRIM(Raw_Data!C41))</f>
        <v>Female</v>
      </c>
      <c r="D41" t="str">
        <f>UPPER(TRIM(Raw_Data!D41))</f>
        <v>MARKETING</v>
      </c>
      <c r="E41" t="str">
        <f>PROPER(TRIM(Raw_Data!E41))</f>
        <v>Mombasa</v>
      </c>
      <c r="F41">
        <f>Raw_Data!F41</f>
        <v>4</v>
      </c>
      <c r="G41">
        <f>Raw_Data!G41</f>
        <v>41</v>
      </c>
      <c r="H41">
        <f>Raw_Data!H41</f>
        <v>425</v>
      </c>
      <c r="I41">
        <f>Raw_Data!I41</f>
        <v>93000</v>
      </c>
      <c r="J41">
        <f>Raw_Data!J41</f>
        <v>81</v>
      </c>
      <c r="K41">
        <f t="shared" si="0"/>
        <v>17425</v>
      </c>
      <c r="L41">
        <f t="shared" si="1"/>
        <v>5000</v>
      </c>
      <c r="M41" t="str">
        <f t="shared" si="2"/>
        <v>Good</v>
      </c>
      <c r="N41" s="1">
        <f t="shared" si="3"/>
        <v>0</v>
      </c>
    </row>
    <row r="42" spans="1:14">
      <c r="A42" s="1">
        <f>Raw_Data!A42</f>
        <v>41</v>
      </c>
      <c r="B42" t="str">
        <f>PROPER(TRIM(Raw_Data!B42))</f>
        <v>Brian Mwangi</v>
      </c>
      <c r="C42" t="str">
        <f>PROPER(TRIM(Raw_Data!C42))</f>
        <v>Male</v>
      </c>
      <c r="D42" t="str">
        <f>UPPER(TRIM(Raw_Data!D42))</f>
        <v>IT</v>
      </c>
      <c r="E42" t="str">
        <f>PROPER(TRIM(Raw_Data!E42))</f>
        <v>Nairobi</v>
      </c>
      <c r="F42">
        <f>Raw_Data!F42</f>
        <v>6</v>
      </c>
      <c r="G42">
        <f>Raw_Data!G42</f>
        <v>46</v>
      </c>
      <c r="H42">
        <f>Raw_Data!H42</f>
        <v>705</v>
      </c>
      <c r="I42">
        <f>Raw_Data!I42</f>
        <v>167000</v>
      </c>
      <c r="J42">
        <f>Raw_Data!J42</f>
        <v>90</v>
      </c>
      <c r="K42">
        <f t="shared" si="0"/>
        <v>32430</v>
      </c>
      <c r="L42">
        <f t="shared" si="1"/>
        <v>5000</v>
      </c>
      <c r="M42" t="str">
        <f t="shared" si="2"/>
        <v>Good</v>
      </c>
      <c r="N42" s="1">
        <f t="shared" si="3"/>
        <v>0</v>
      </c>
    </row>
    <row r="43" spans="1:14">
      <c r="A43" s="1">
        <f>Raw_Data!A43</f>
        <v>42</v>
      </c>
      <c r="B43" t="str">
        <f>PROPER(TRIM(Raw_Data!B43))</f>
        <v>Joyce Njeri</v>
      </c>
      <c r="C43" t="str">
        <f>PROPER(TRIM(Raw_Data!C43))</f>
        <v>Female</v>
      </c>
      <c r="D43" t="str">
        <f>UPPER(TRIM(Raw_Data!D43))</f>
        <v>HR</v>
      </c>
      <c r="E43" t="str">
        <f>PROPER(TRIM(Raw_Data!E43))</f>
        <v>Nakuru</v>
      </c>
      <c r="F43">
        <f>Raw_Data!F43</f>
        <v>2</v>
      </c>
      <c r="G43">
        <f>Raw_Data!G43</f>
        <v>34</v>
      </c>
      <c r="H43">
        <f>Raw_Data!H43</f>
        <v>345</v>
      </c>
      <c r="I43">
        <f>Raw_Data!I43</f>
        <v>0</v>
      </c>
      <c r="J43">
        <f>Raw_Data!J43</f>
        <v>63</v>
      </c>
      <c r="K43">
        <f t="shared" si="0"/>
        <v>11730</v>
      </c>
      <c r="L43">
        <f t="shared" si="1"/>
        <v>2000</v>
      </c>
      <c r="M43" t="str">
        <f t="shared" si="2"/>
        <v>Average</v>
      </c>
      <c r="N43" s="1">
        <f t="shared" si="3"/>
        <v>0</v>
      </c>
    </row>
    <row r="44" spans="1:14">
      <c r="A44" s="1">
        <f>Raw_Data!A44</f>
        <v>43</v>
      </c>
      <c r="B44" t="str">
        <f>PROPER(TRIM(Raw_Data!B44))</f>
        <v>Moses Kirui</v>
      </c>
      <c r="C44" t="str">
        <f>PROPER(TRIM(Raw_Data!C44))</f>
        <v>Male</v>
      </c>
      <c r="D44" t="str">
        <f>UPPER(TRIM(Raw_Data!D44))</f>
        <v>FINANCE</v>
      </c>
      <c r="E44" t="str">
        <f>PROPER(TRIM(Raw_Data!E44))</f>
        <v>Eldoret</v>
      </c>
      <c r="F44">
        <f>Raw_Data!F44</f>
        <v>5</v>
      </c>
      <c r="G44">
        <f>Raw_Data!G44</f>
        <v>42</v>
      </c>
      <c r="H44">
        <f>Raw_Data!H44</f>
        <v>560</v>
      </c>
      <c r="I44">
        <f>Raw_Data!I44</f>
        <v>76000</v>
      </c>
      <c r="J44">
        <f>Raw_Data!J44</f>
        <v>85</v>
      </c>
      <c r="K44">
        <f t="shared" si="0"/>
        <v>23520</v>
      </c>
      <c r="L44">
        <f t="shared" si="1"/>
        <v>5000</v>
      </c>
      <c r="M44" t="str">
        <f t="shared" si="2"/>
        <v>Good</v>
      </c>
      <c r="N44" s="1">
        <f t="shared" si="3"/>
        <v>0</v>
      </c>
    </row>
    <row r="45" spans="1:14">
      <c r="A45" s="1">
        <f>Raw_Data!A45</f>
        <v>44</v>
      </c>
      <c r="B45" t="str">
        <f>PROPER(TRIM(Raw_Data!B45))</f>
        <v>Luke Atieno</v>
      </c>
      <c r="C45" t="str">
        <f>PROPER(TRIM(Raw_Data!C45))</f>
        <v>Male</v>
      </c>
      <c r="D45" t="str">
        <f>UPPER(TRIM(Raw_Data!D45))</f>
        <v>SALES</v>
      </c>
      <c r="E45" t="str">
        <f>PROPER(TRIM(Raw_Data!E45))</f>
        <v>Kisumu</v>
      </c>
      <c r="F45">
        <f>Raw_Data!F45</f>
        <v>4</v>
      </c>
      <c r="G45">
        <f>Raw_Data!G45</f>
        <v>39</v>
      </c>
      <c r="H45">
        <f>Raw_Data!H45</f>
        <v>500</v>
      </c>
      <c r="I45">
        <f>Raw_Data!I45</f>
        <v>111000</v>
      </c>
      <c r="J45">
        <f>Raw_Data!J45</f>
        <v>79</v>
      </c>
      <c r="K45">
        <f t="shared" si="0"/>
        <v>19500</v>
      </c>
      <c r="L45">
        <f t="shared" si="1"/>
        <v>2000</v>
      </c>
      <c r="M45" t="str">
        <f t="shared" si="2"/>
        <v>Average</v>
      </c>
      <c r="N45" s="1">
        <f t="shared" si="3"/>
        <v>0</v>
      </c>
    </row>
    <row r="46" spans="1:14">
      <c r="A46" s="1">
        <f>Raw_Data!A46</f>
        <v>45</v>
      </c>
      <c r="B46" t="str">
        <f>PROPER(TRIM(Raw_Data!B46))</f>
        <v>Frank Mutiso</v>
      </c>
      <c r="C46" t="str">
        <f>PROPER(TRIM(Raw_Data!C46))</f>
        <v>Male</v>
      </c>
      <c r="D46" t="str">
        <f>UPPER(TRIM(Raw_Data!D46))</f>
        <v>MARKETING</v>
      </c>
      <c r="E46" t="str">
        <f>PROPER(TRIM(Raw_Data!E46))</f>
        <v>Mombasa</v>
      </c>
      <c r="F46">
        <f>Raw_Data!F46</f>
        <v>5</v>
      </c>
      <c r="G46">
        <f>Raw_Data!G46</f>
        <v>44</v>
      </c>
      <c r="H46">
        <f>Raw_Data!H46</f>
        <v>430</v>
      </c>
      <c r="I46">
        <f>Raw_Data!I46</f>
        <v>94000</v>
      </c>
      <c r="J46">
        <f>Raw_Data!J46</f>
        <v>82</v>
      </c>
      <c r="K46">
        <f t="shared" si="0"/>
        <v>18920</v>
      </c>
      <c r="L46">
        <f t="shared" si="1"/>
        <v>5000</v>
      </c>
      <c r="M46" t="str">
        <f t="shared" si="2"/>
        <v>Good</v>
      </c>
      <c r="N46" s="1">
        <f t="shared" si="3"/>
        <v>0</v>
      </c>
    </row>
    <row r="47" spans="1:14">
      <c r="A47" s="1">
        <f>Raw_Data!A47</f>
        <v>46</v>
      </c>
      <c r="B47" t="str">
        <f>PROPER(TRIM(Raw_Data!B47))</f>
        <v>Daniel Mwangi</v>
      </c>
      <c r="C47" t="str">
        <f>PROPER(TRIM(Raw_Data!C47))</f>
        <v>Male</v>
      </c>
      <c r="D47" t="str">
        <f>UPPER(TRIM(Raw_Data!D47))</f>
        <v>IT</v>
      </c>
      <c r="E47" t="str">
        <f>PROPER(TRIM(Raw_Data!E47))</f>
        <v>Nairobi</v>
      </c>
      <c r="F47">
        <f>Raw_Data!F47</f>
        <v>7</v>
      </c>
      <c r="G47">
        <f>Raw_Data!G47</f>
        <v>48</v>
      </c>
      <c r="H47">
        <f>Raw_Data!H47</f>
        <v>720</v>
      </c>
      <c r="I47">
        <f>Raw_Data!I47</f>
        <v>175000</v>
      </c>
      <c r="J47">
        <f>Raw_Data!J47</f>
        <v>94</v>
      </c>
      <c r="K47">
        <f t="shared" si="0"/>
        <v>34560</v>
      </c>
      <c r="L47">
        <f t="shared" si="1"/>
        <v>10000</v>
      </c>
      <c r="M47" t="str">
        <f t="shared" si="2"/>
        <v>Excellent</v>
      </c>
      <c r="N47" s="1">
        <f t="shared" si="3"/>
        <v>0</v>
      </c>
    </row>
    <row r="48" spans="1:14">
      <c r="A48" s="1">
        <f>Raw_Data!A48</f>
        <v>47</v>
      </c>
      <c r="B48" t="str">
        <f>PROPER(TRIM(Raw_Data!B48))</f>
        <v>Grace Wairimu</v>
      </c>
      <c r="C48" t="str">
        <f>PROPER(TRIM(Raw_Data!C48))</f>
        <v>Female</v>
      </c>
      <c r="D48" t="str">
        <f>UPPER(TRIM(Raw_Data!D48))</f>
        <v>HR</v>
      </c>
      <c r="E48" t="str">
        <f>PROPER(TRIM(Raw_Data!E48))</f>
        <v>Nakuru</v>
      </c>
      <c r="F48">
        <f>Raw_Data!F48</f>
        <v>3</v>
      </c>
      <c r="G48">
        <f>Raw_Data!G48</f>
        <v>36</v>
      </c>
      <c r="H48">
        <f>Raw_Data!H48</f>
        <v>355</v>
      </c>
      <c r="I48">
        <f>Raw_Data!I48</f>
        <v>0</v>
      </c>
      <c r="J48">
        <f>Raw_Data!J48</f>
        <v>67</v>
      </c>
      <c r="K48">
        <f t="shared" si="0"/>
        <v>12780</v>
      </c>
      <c r="L48">
        <f t="shared" si="1"/>
        <v>2000</v>
      </c>
      <c r="M48" t="str">
        <f t="shared" si="2"/>
        <v>Average</v>
      </c>
      <c r="N48" s="1">
        <f t="shared" si="3"/>
        <v>0</v>
      </c>
    </row>
    <row r="49" spans="1:14">
      <c r="A49" s="1">
        <f>Raw_Data!A49</f>
        <v>48</v>
      </c>
      <c r="B49" t="str">
        <f>PROPER(TRIM(Raw_Data!B49))</f>
        <v>Peter Otieno</v>
      </c>
      <c r="C49" t="str">
        <f>PROPER(TRIM(Raw_Data!C49))</f>
        <v>Male</v>
      </c>
      <c r="D49" t="str">
        <f>UPPER(TRIM(Raw_Data!D49))</f>
        <v>MARKETING</v>
      </c>
      <c r="E49" t="str">
        <f>PROPER(TRIM(Raw_Data!E49))</f>
        <v>Mombasa</v>
      </c>
      <c r="F49">
        <f>Raw_Data!F49</f>
        <v>5</v>
      </c>
      <c r="G49">
        <f>Raw_Data!G49</f>
        <v>45</v>
      </c>
      <c r="H49">
        <f>Raw_Data!H49</f>
        <v>435</v>
      </c>
      <c r="I49">
        <f>Raw_Data!I49</f>
        <v>97000</v>
      </c>
      <c r="J49">
        <f>Raw_Data!J49</f>
        <v>86</v>
      </c>
      <c r="K49">
        <f t="shared" si="0"/>
        <v>19575</v>
      </c>
      <c r="L49">
        <f t="shared" si="1"/>
        <v>5000</v>
      </c>
      <c r="M49" t="str">
        <f t="shared" si="2"/>
        <v>Good</v>
      </c>
      <c r="N49" s="1">
        <f t="shared" si="3"/>
        <v>0</v>
      </c>
    </row>
    <row r="50" spans="1:14">
      <c r="A50" s="1">
        <f>Raw_Data!A50</f>
        <v>49</v>
      </c>
      <c r="B50" t="str">
        <f>PROPER(TRIM(Raw_Data!B50))</f>
        <v>Caroline Njeri</v>
      </c>
      <c r="C50" t="str">
        <f>PROPER(TRIM(Raw_Data!C50))</f>
        <v>Female</v>
      </c>
      <c r="D50" t="str">
        <f>UPPER(TRIM(Raw_Data!D50))</f>
        <v>FINANCE</v>
      </c>
      <c r="E50" t="str">
        <f>PROPER(TRIM(Raw_Data!E50))</f>
        <v>Eldoret</v>
      </c>
      <c r="F50">
        <f>Raw_Data!F50</f>
        <v>4</v>
      </c>
      <c r="G50">
        <f>Raw_Data!G50</f>
        <v>39</v>
      </c>
      <c r="H50">
        <f>Raw_Data!H50</f>
        <v>545</v>
      </c>
      <c r="I50">
        <f>Raw_Data!I50</f>
        <v>71000</v>
      </c>
      <c r="J50">
        <f>Raw_Data!J50</f>
        <v>80</v>
      </c>
      <c r="K50">
        <f t="shared" si="0"/>
        <v>21255</v>
      </c>
      <c r="L50">
        <f t="shared" si="1"/>
        <v>2000</v>
      </c>
      <c r="M50" t="str">
        <f t="shared" si="2"/>
        <v>Average</v>
      </c>
      <c r="N50" s="1">
        <f t="shared" si="3"/>
        <v>0</v>
      </c>
    </row>
    <row r="51" spans="1:14">
      <c r="A51" s="1">
        <f>Raw_Data!A51</f>
        <v>50</v>
      </c>
      <c r="B51" t="str">
        <f>PROPER(TRIM(Raw_Data!B51))</f>
        <v>Benson Kiptoo</v>
      </c>
      <c r="C51" t="str">
        <f>PROPER(TRIM(Raw_Data!C51))</f>
        <v>Male</v>
      </c>
      <c r="D51" t="str">
        <f>UPPER(TRIM(Raw_Data!D51))</f>
        <v>SALES</v>
      </c>
      <c r="E51" t="str">
        <f>PROPER(TRIM(Raw_Data!E51))</f>
        <v>Kisumu</v>
      </c>
      <c r="F51">
        <f>Raw_Data!F51</f>
        <v>4</v>
      </c>
      <c r="G51">
        <f>Raw_Data!G51</f>
        <v>40</v>
      </c>
      <c r="H51">
        <f>Raw_Data!H51</f>
        <v>500</v>
      </c>
      <c r="I51">
        <f>Raw_Data!I51</f>
        <v>115000</v>
      </c>
      <c r="J51">
        <f>Raw_Data!J51</f>
        <v>82</v>
      </c>
      <c r="K51">
        <f t="shared" si="0"/>
        <v>20000</v>
      </c>
      <c r="L51">
        <f t="shared" si="1"/>
        <v>5000</v>
      </c>
      <c r="M51" t="str">
        <f t="shared" si="2"/>
        <v>Good</v>
      </c>
      <c r="N51" s="1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E1F3-5C44-421C-B22C-F3AFD28ACE19}">
  <dimension ref="A1:J21"/>
  <sheetViews>
    <sheetView workbookViewId="0">
      <selection sqref="A1:XFD1048576"/>
    </sheetView>
  </sheetViews>
  <sheetFormatPr defaultRowHeight="15"/>
  <cols>
    <col min="1" max="1" width="23.7109375" bestFit="1" customWidth="1"/>
    <col min="2" max="2" width="23.5703125" bestFit="1" customWidth="1"/>
    <col min="3" max="3" width="12.140625" bestFit="1" customWidth="1"/>
    <col min="4" max="4" width="24.42578125" bestFit="1" customWidth="1"/>
    <col min="7" max="7" width="12.140625" bestFit="1" customWidth="1"/>
    <col min="8" max="8" width="18" bestFit="1" customWidth="1"/>
    <col min="9" max="9" width="8.42578125" bestFit="1" customWidth="1"/>
    <col min="10" max="11" width="11.42578125" bestFit="1" customWidth="1"/>
  </cols>
  <sheetData>
    <row r="1" spans="1:10">
      <c r="A1" s="5" t="s">
        <v>2</v>
      </c>
      <c r="B1" s="5" t="s">
        <v>3</v>
      </c>
      <c r="C1" t="s">
        <v>78</v>
      </c>
      <c r="D1" t="s">
        <v>79</v>
      </c>
      <c r="G1" s="5" t="s">
        <v>3</v>
      </c>
      <c r="H1" t="s">
        <v>80</v>
      </c>
    </row>
    <row r="2" spans="1:10">
      <c r="A2" t="s">
        <v>23</v>
      </c>
      <c r="B2" t="s">
        <v>77</v>
      </c>
      <c r="C2" s="6">
        <v>284500</v>
      </c>
      <c r="D2" s="6">
        <v>317</v>
      </c>
    </row>
    <row r="3" spans="1:10">
      <c r="B3" t="s">
        <v>24</v>
      </c>
      <c r="C3" s="6">
        <v>0</v>
      </c>
      <c r="D3" s="6">
        <v>512</v>
      </c>
      <c r="G3" s="5" t="s">
        <v>78</v>
      </c>
      <c r="H3" s="5" t="s">
        <v>2</v>
      </c>
    </row>
    <row r="4" spans="1:10">
      <c r="B4" t="s">
        <v>76</v>
      </c>
      <c r="C4" s="6">
        <v>467000</v>
      </c>
      <c r="D4" s="6">
        <v>408</v>
      </c>
      <c r="G4" s="5" t="s">
        <v>4</v>
      </c>
      <c r="H4" t="s">
        <v>23</v>
      </c>
      <c r="I4" t="s">
        <v>11</v>
      </c>
      <c r="J4" t="s">
        <v>81</v>
      </c>
    </row>
    <row r="5" spans="1:10">
      <c r="B5" t="s">
        <v>75</v>
      </c>
      <c r="C5" s="6">
        <v>226000</v>
      </c>
      <c r="D5" s="6">
        <v>158</v>
      </c>
      <c r="G5" t="s">
        <v>21</v>
      </c>
      <c r="H5" s="6">
        <v>284500</v>
      </c>
      <c r="I5" s="6">
        <v>371000</v>
      </c>
      <c r="J5" s="6">
        <v>655500</v>
      </c>
    </row>
    <row r="6" spans="1:10">
      <c r="A6" t="s">
        <v>82</v>
      </c>
      <c r="C6" s="6">
        <v>977500</v>
      </c>
      <c r="D6" s="6">
        <v>1395</v>
      </c>
      <c r="G6" t="s">
        <v>27</v>
      </c>
      <c r="H6" s="6">
        <v>226000</v>
      </c>
      <c r="I6" s="6">
        <v>788000</v>
      </c>
      <c r="J6" s="6">
        <v>1014000</v>
      </c>
    </row>
    <row r="7" spans="1:10">
      <c r="A7" t="s">
        <v>11</v>
      </c>
      <c r="B7" t="s">
        <v>77</v>
      </c>
      <c r="C7" s="6">
        <v>371000</v>
      </c>
      <c r="D7" s="6">
        <v>417</v>
      </c>
      <c r="G7" t="s">
        <v>17</v>
      </c>
      <c r="H7" s="6">
        <v>467000</v>
      </c>
      <c r="I7" s="6">
        <v>567000</v>
      </c>
      <c r="J7" s="6">
        <v>1034000</v>
      </c>
    </row>
    <row r="8" spans="1:10">
      <c r="B8" t="s">
        <v>12</v>
      </c>
      <c r="C8" s="6">
        <v>2068000</v>
      </c>
      <c r="D8" s="6">
        <v>1116</v>
      </c>
      <c r="G8" t="s">
        <v>13</v>
      </c>
      <c r="H8" s="6"/>
      <c r="I8" s="6">
        <v>2198000</v>
      </c>
      <c r="J8" s="6">
        <v>2198000</v>
      </c>
    </row>
    <row r="9" spans="1:10">
      <c r="B9" t="s">
        <v>76</v>
      </c>
      <c r="C9" s="6">
        <v>567000</v>
      </c>
      <c r="D9" s="6">
        <v>494</v>
      </c>
      <c r="G9" t="s">
        <v>25</v>
      </c>
      <c r="H9" s="6">
        <v>0</v>
      </c>
      <c r="I9" s="6"/>
      <c r="J9" s="6">
        <v>0</v>
      </c>
    </row>
    <row r="10" spans="1:10">
      <c r="B10" t="s">
        <v>75</v>
      </c>
      <c r="C10" s="6">
        <v>918000</v>
      </c>
      <c r="D10" s="6">
        <v>632</v>
      </c>
      <c r="G10" t="s">
        <v>81</v>
      </c>
      <c r="H10" s="6">
        <v>977500</v>
      </c>
      <c r="I10" s="6">
        <v>3924000</v>
      </c>
      <c r="J10" s="6">
        <v>4901500</v>
      </c>
    </row>
    <row r="11" spans="1:10">
      <c r="A11" t="s">
        <v>83</v>
      </c>
      <c r="C11" s="6">
        <v>3924000</v>
      </c>
      <c r="D11" s="6">
        <v>2659</v>
      </c>
    </row>
    <row r="12" spans="1:10">
      <c r="A12" t="s">
        <v>81</v>
      </c>
      <c r="C12" s="6">
        <v>4901500</v>
      </c>
      <c r="D12" s="6">
        <v>4054</v>
      </c>
    </row>
    <row r="16" spans="1:10">
      <c r="A16" s="5" t="s">
        <v>73</v>
      </c>
      <c r="B16" t="s">
        <v>84</v>
      </c>
    </row>
    <row r="17" spans="1:2">
      <c r="A17" t="s">
        <v>85</v>
      </c>
      <c r="B17" s="6">
        <v>23</v>
      </c>
    </row>
    <row r="18" spans="1:2">
      <c r="A18" t="s">
        <v>86</v>
      </c>
      <c r="B18" s="6">
        <v>9</v>
      </c>
    </row>
    <row r="19" spans="1:2">
      <c r="A19" t="s">
        <v>87</v>
      </c>
      <c r="B19" s="6">
        <v>18</v>
      </c>
    </row>
    <row r="20" spans="1:2">
      <c r="A20" t="s">
        <v>88</v>
      </c>
      <c r="B20" s="6"/>
    </row>
    <row r="21" spans="1:2">
      <c r="A21" t="s">
        <v>81</v>
      </c>
      <c r="B21" s="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0C85-0EC6-4C17-8ADD-DD0DE5F1CA27}">
  <dimension ref="A1:C2"/>
  <sheetViews>
    <sheetView tabSelected="1" workbookViewId="0">
      <selection activeCell="I5" sqref="I5"/>
    </sheetView>
  </sheetViews>
  <sheetFormatPr defaultRowHeight="15"/>
  <cols>
    <col min="1" max="1" width="14.85546875" customWidth="1"/>
    <col min="2" max="2" width="15.28515625" customWidth="1"/>
    <col min="3" max="3" width="13.28515625" customWidth="1"/>
  </cols>
  <sheetData>
    <row r="1" spans="1:3" s="7" customFormat="1" ht="70.5">
      <c r="A1" s="7" t="s">
        <v>89</v>
      </c>
      <c r="B1" s="7" t="s">
        <v>90</v>
      </c>
      <c r="C1" s="7" t="s">
        <v>91</v>
      </c>
    </row>
    <row r="2" spans="1:3">
      <c r="A2">
        <f>SUM(Clean_Data!I:I)</f>
        <v>4901500</v>
      </c>
      <c r="B2">
        <f>SUM(Clean_Data!K:K)</f>
        <v>1108385</v>
      </c>
      <c r="C2">
        <f>COUNTA(Clean_Data!A:A)-1</f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2026-04-23T19:26:11Z</dcterms:created>
  <dcterms:modified xsi:type="dcterms:W3CDTF">2026-04-23T21:02:46Z</dcterms:modified>
  <cp:category/>
  <cp:contentStatus/>
</cp:coreProperties>
</file>