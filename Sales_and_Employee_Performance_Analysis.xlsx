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44A256F-E167-4DDD-9FD6-FD28D334112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Raw Data" sheetId="5" r:id="rId1"/>
    <sheet name="Clean Data" sheetId="6" r:id="rId2"/>
    <sheet name="Analysis" sheetId="7" r:id="rId3"/>
  </sheets>
  <externalReferences>
    <externalReference r:id="rId4"/>
    <externalReference r:id="rId5"/>
    <externalReference r:id="rId6"/>
  </externalReferences>
  <calcPr calcId="191028"/>
  <pivotCaches>
    <pivotCache cacheId="123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L2" i="6"/>
  <c r="K2" i="6"/>
  <c r="J2" i="6"/>
  <c r="A2" i="6"/>
  <c r="B2" i="6"/>
  <c r="C2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</calcChain>
</file>

<file path=xl/sharedStrings.xml><?xml version="1.0" encoding="utf-8"?>
<sst xmlns="http://schemas.openxmlformats.org/spreadsheetml/2006/main" count="147" uniqueCount="72">
  <si>
    <t>Employee Name</t>
  </si>
  <si>
    <t>Department</t>
  </si>
  <si>
    <t>Product</t>
  </si>
  <si>
    <t>Region</t>
  </si>
  <si>
    <t>Hours Worked</t>
  </si>
  <si>
    <t>Overtime Hours</t>
  </si>
  <si>
    <t>Hourly Rate</t>
  </si>
  <si>
    <t>Sales</t>
  </si>
  <si>
    <t>Profit</t>
  </si>
  <si>
    <t>john kamau</t>
  </si>
  <si>
    <t>laptop</t>
  </si>
  <si>
    <t>nairobi</t>
  </si>
  <si>
    <t>Mary Wanjiku</t>
  </si>
  <si>
    <t xml:space="preserve"> sales</t>
  </si>
  <si>
    <t>Phone</t>
  </si>
  <si>
    <t xml:space="preserve">Nairobi </t>
  </si>
  <si>
    <t>PETER OTIENO</t>
  </si>
  <si>
    <t>Marketing</t>
  </si>
  <si>
    <t>tablet</t>
  </si>
  <si>
    <t>MOMBASA</t>
  </si>
  <si>
    <t>ann njeri</t>
  </si>
  <si>
    <t>HR</t>
  </si>
  <si>
    <t>none</t>
  </si>
  <si>
    <t>Nakuru</t>
  </si>
  <si>
    <t>James Mwangi</t>
  </si>
  <si>
    <t>IT</t>
  </si>
  <si>
    <t>Laptop</t>
  </si>
  <si>
    <t>linda cherono</t>
  </si>
  <si>
    <t>finance</t>
  </si>
  <si>
    <t>printer</t>
  </si>
  <si>
    <t>Eldoret</t>
  </si>
  <si>
    <t>Kevin Kiptoo</t>
  </si>
  <si>
    <t>PHONE</t>
  </si>
  <si>
    <t xml:space="preserve"> Kisumu</t>
  </si>
  <si>
    <t>susan Achieng</t>
  </si>
  <si>
    <t>Tablet</t>
  </si>
  <si>
    <t>Mombasa</t>
  </si>
  <si>
    <t>brian mutiso</t>
  </si>
  <si>
    <t>Nairobi</t>
  </si>
  <si>
    <t>grace Wairimu</t>
  </si>
  <si>
    <t>None</t>
  </si>
  <si>
    <t xml:space="preserve">Nakuru </t>
  </si>
  <si>
    <t>daniel kirui</t>
  </si>
  <si>
    <t>Finance</t>
  </si>
  <si>
    <t>Printer</t>
  </si>
  <si>
    <t>Mercy Atieno</t>
  </si>
  <si>
    <t>phone</t>
  </si>
  <si>
    <t>Kisumu</t>
  </si>
  <si>
    <t>steve otieno</t>
  </si>
  <si>
    <t>carol njeri</t>
  </si>
  <si>
    <t>paul mwangi</t>
  </si>
  <si>
    <t>LAPTOP</t>
  </si>
  <si>
    <t>Esther Wanjiru</t>
  </si>
  <si>
    <t>alex kiptoo</t>
  </si>
  <si>
    <t>ruth chebet</t>
  </si>
  <si>
    <t>george mutua</t>
  </si>
  <si>
    <t>lucy wanjiku</t>
  </si>
  <si>
    <t>samuel kiptoo</t>
  </si>
  <si>
    <t>ivy atieno</t>
  </si>
  <si>
    <t>mark otieno</t>
  </si>
  <si>
    <t>nancy njeri</t>
  </si>
  <si>
    <t>eric mwangi</t>
  </si>
  <si>
    <t>Total Wage</t>
  </si>
  <si>
    <t>Overtime Pay</t>
  </si>
  <si>
    <t>Performance Category</t>
  </si>
  <si>
    <t>Sum of Sales</t>
  </si>
  <si>
    <t>Sum of Profit</t>
  </si>
  <si>
    <t>FINANCE</t>
  </si>
  <si>
    <t>MARKETING</t>
  </si>
  <si>
    <t>SALES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</si>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</sst>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45" wrapText="1"/>
    </xf>
    <xf numFmtId="0" fontId="0" fillId="0" borderId="0" xfId="0" applyAlignment="1">
      <alignment textRotation="45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lean_Dat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_Dat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4.071725810187" createdVersion="8" refreshedVersion="8" minRefreshableVersion="3" recordCount="38" xr:uid="{A323E1B0-966B-4C58-9178-91BE4DDFBA2B}">
  <cacheSource type="worksheet">
    <worksheetSource ref="A1:L39" sheet="Clean Data"/>
  </cacheSource>
  <cacheFields count="12">
    <cacheField name="Employee Name" numFmtId="0">
      <sharedItems containsBlank="1"/>
    </cacheField>
    <cacheField name="Department" numFmtId="0">
      <sharedItems containsBlank="1" count="7">
        <s v="SALES"/>
        <s v="MARKETING"/>
        <s v="HR"/>
        <s v="IT"/>
        <s v="FINANCE"/>
        <s v=""/>
        <m/>
      </sharedItems>
    </cacheField>
    <cacheField name="Product" numFmtId="0">
      <sharedItems containsBlank="1" count="7">
        <s v="Laptop"/>
        <s v="Phone"/>
        <s v="Tablet"/>
        <s v="None"/>
        <s v="Printer"/>
        <s v=""/>
        <m/>
      </sharedItems>
    </cacheField>
    <cacheField name="Region" numFmtId="0">
      <sharedItems count="6">
        <s v="Nairobi"/>
        <s v="Mombasa"/>
        <s v="Nakuru"/>
        <s v="Eldoret"/>
        <s v="Kisumu"/>
        <s v=""/>
      </sharedItems>
    </cacheField>
    <cacheField name="Hours Worked" numFmtId="0">
      <sharedItems containsString="0" containsBlank="1" containsNumber="1" containsInteger="1" minValue="35" maxValue="47"/>
    </cacheField>
    <cacheField name="Overtime Hours" numFmtId="0">
      <sharedItems containsString="0" containsBlank="1" containsNumber="1" containsInteger="1" minValue="0" maxValue="11"/>
    </cacheField>
    <cacheField name="Hourly Rate" numFmtId="0">
      <sharedItems containsString="0" containsBlank="1" containsNumber="1" containsInteger="1" minValue="350" maxValue="630"/>
    </cacheField>
    <cacheField name="Sales" numFmtId="0">
      <sharedItems containsString="0" containsBlank="1" containsNumber="1" containsInteger="1" minValue="0" maxValue="160000"/>
    </cacheField>
    <cacheField name="Profit" numFmtId="0">
      <sharedItems containsString="0" containsBlank="1" containsNumber="1" containsInteger="1" minValue="0" maxValue="55000"/>
    </cacheField>
    <cacheField name="Total Wage" numFmtId="0">
      <sharedItems containsString="0" containsBlank="1" containsNumber="1" containsInteger="1" minValue="12250" maxValue="29610"/>
    </cacheField>
    <cacheField name="Overtime Pay" numFmtId="0">
      <sharedItems containsString="0" containsBlank="1" containsNumber="1" containsInteger="1" minValue="0" maxValue="10395"/>
    </cacheField>
    <cacheField name="Performance 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John Kamau"/>
    <x v="0"/>
    <x v="0"/>
    <x v="0"/>
    <n v="40"/>
    <n v="5"/>
    <n v="500"/>
    <n v="120000"/>
    <n v="30000"/>
    <n v="20000"/>
    <n v="3750"/>
    <s v="Low"/>
  </r>
  <r>
    <s v="Mary Wanjiku"/>
    <x v="0"/>
    <x v="1"/>
    <x v="0"/>
    <n v="38"/>
    <n v="2"/>
    <n v="450"/>
    <n v="95000"/>
    <n v="20000"/>
    <n v="17100"/>
    <n v="1350"/>
    <s v="Low"/>
  </r>
  <r>
    <s v="Peter Otieno"/>
    <x v="1"/>
    <x v="2"/>
    <x v="1"/>
    <n v="42"/>
    <n v="6"/>
    <n v="400"/>
    <n v="87000"/>
    <n v="15000"/>
    <n v="16800"/>
    <n v="3600"/>
    <s v="Low"/>
  </r>
  <r>
    <s v="Ann Njeri"/>
    <x v="2"/>
    <x v="3"/>
    <x v="2"/>
    <n v="36"/>
    <n v="0"/>
    <n v="350"/>
    <n v="0"/>
    <n v="0"/>
    <n v="12600"/>
    <n v="0"/>
    <s v="Low"/>
  </r>
  <r>
    <s v="James Mwangi"/>
    <x v="3"/>
    <x v="0"/>
    <x v="0"/>
    <n v="45"/>
    <n v="10"/>
    <n v="600"/>
    <n v="150000"/>
    <n v="50000"/>
    <n v="27000"/>
    <n v="9000"/>
    <s v="Low"/>
  </r>
  <r>
    <s v="Linda Cherono"/>
    <x v="4"/>
    <x v="4"/>
    <x v="3"/>
    <n v="40"/>
    <n v="4"/>
    <n v="550"/>
    <n v="60000"/>
    <n v="10000"/>
    <n v="22000"/>
    <n v="3300"/>
    <s v="Low"/>
  </r>
  <r>
    <s v="Kevin Kiptoo"/>
    <x v="0"/>
    <x v="1"/>
    <x v="4"/>
    <n v="39"/>
    <n v="3"/>
    <n v="500"/>
    <n v="110000"/>
    <n v="25000"/>
    <n v="19500"/>
    <n v="2250"/>
    <s v="Low"/>
  </r>
  <r>
    <s v="Susan Achieng"/>
    <x v="1"/>
    <x v="2"/>
    <x v="1"/>
    <n v="41"/>
    <n v="5"/>
    <n v="420"/>
    <n v="92000"/>
    <n v="18000"/>
    <n v="17220"/>
    <n v="3150"/>
    <s v="Low"/>
  </r>
  <r>
    <s v="Brian Mutiso"/>
    <x v="3"/>
    <x v="0"/>
    <x v="0"/>
    <n v="44"/>
    <n v="8"/>
    <n v="600"/>
    <n v="140000"/>
    <n v="45000"/>
    <n v="26400"/>
    <n v="7200"/>
    <s v="Low"/>
  </r>
  <r>
    <s v="Grace Wairimu"/>
    <x v="2"/>
    <x v="3"/>
    <x v="2"/>
    <n v="37"/>
    <n v="1"/>
    <n v="360"/>
    <n v="0"/>
    <n v="0"/>
    <n v="13320"/>
    <n v="540"/>
    <s v="Low"/>
  </r>
  <r>
    <s v="Daniel Kirui"/>
    <x v="4"/>
    <x v="4"/>
    <x v="3"/>
    <n v="40"/>
    <n v="2"/>
    <n v="550"/>
    <n v="58000"/>
    <n v="9000"/>
    <n v="22000"/>
    <n v="1650"/>
    <s v="Low"/>
  </r>
  <r>
    <s v="Mercy Atieno"/>
    <x v="0"/>
    <x v="1"/>
    <x v="4"/>
    <n v="38"/>
    <n v="4"/>
    <n v="480"/>
    <n v="105000"/>
    <n v="22000"/>
    <n v="18240"/>
    <n v="2880"/>
    <s v="Low"/>
  </r>
  <r>
    <s v="Steve Otieno"/>
    <x v="1"/>
    <x v="2"/>
    <x v="1"/>
    <n v="43"/>
    <n v="6"/>
    <n v="410"/>
    <n v="89000"/>
    <n v="16000"/>
    <n v="17630"/>
    <n v="3690"/>
    <s v="Low"/>
  </r>
  <r>
    <s v="Carol Njeri"/>
    <x v="2"/>
    <x v="3"/>
    <x v="2"/>
    <n v="35"/>
    <n v="0"/>
    <n v="350"/>
    <n v="0"/>
    <n v="0"/>
    <n v="12250"/>
    <n v="0"/>
    <s v="Low"/>
  </r>
  <r>
    <s v="Paul Mwangi"/>
    <x v="3"/>
    <x v="0"/>
    <x v="0"/>
    <n v="46"/>
    <n v="9"/>
    <n v="620"/>
    <n v="155000"/>
    <n v="52000"/>
    <n v="28520"/>
    <n v="8370"/>
    <s v="Low"/>
  </r>
  <r>
    <s v="Esther Wanjiru"/>
    <x v="4"/>
    <x v="4"/>
    <x v="3"/>
    <n v="39"/>
    <n v="3"/>
    <n v="540"/>
    <n v="61000"/>
    <n v="11000"/>
    <n v="21060"/>
    <n v="2430"/>
    <s v="Low"/>
  </r>
  <r>
    <s v="Alex Kiptoo"/>
    <x v="0"/>
    <x v="1"/>
    <x v="4"/>
    <n v="40"/>
    <n v="5"/>
    <n v="500"/>
    <n v="115000"/>
    <n v="26000"/>
    <n v="20000"/>
    <n v="3750"/>
    <s v="Low"/>
  </r>
  <r>
    <s v="Ruth Chebet"/>
    <x v="1"/>
    <x v="2"/>
    <x v="1"/>
    <n v="42"/>
    <n v="7"/>
    <n v="430"/>
    <n v="93000"/>
    <n v="19000"/>
    <n v="18060"/>
    <n v="4515"/>
    <s v="Low"/>
  </r>
  <r>
    <s v="George Mutua"/>
    <x v="3"/>
    <x v="0"/>
    <x v="0"/>
    <n v="45"/>
    <n v="10"/>
    <n v="610"/>
    <n v="148000"/>
    <n v="48000"/>
    <n v="27450"/>
    <n v="9150"/>
    <s v="Low"/>
  </r>
  <r>
    <s v="Lucy Wanjiku"/>
    <x v="2"/>
    <x v="3"/>
    <x v="2"/>
    <n v="36"/>
    <n v="0"/>
    <n v="355"/>
    <n v="0"/>
    <n v="0"/>
    <n v="12780"/>
    <n v="0"/>
    <s v="Low"/>
  </r>
  <r>
    <s v="Samuel Kiptoo"/>
    <x v="4"/>
    <x v="4"/>
    <x v="3"/>
    <n v="41"/>
    <n v="4"/>
    <n v="560"/>
    <n v="62000"/>
    <n v="12000"/>
    <n v="22960"/>
    <n v="3360"/>
    <s v="Low"/>
  </r>
  <r>
    <s v="Ivy Atieno"/>
    <x v="0"/>
    <x v="1"/>
    <x v="4"/>
    <n v="37"/>
    <n v="2"/>
    <n v="470"/>
    <n v="100000"/>
    <n v="21000"/>
    <n v="17390"/>
    <n v="1410"/>
    <s v="Low"/>
  </r>
  <r>
    <s v="Mark Otieno"/>
    <x v="1"/>
    <x v="2"/>
    <x v="1"/>
    <n v="44"/>
    <n v="6"/>
    <n v="415"/>
    <n v="91000"/>
    <n v="17000"/>
    <n v="18260"/>
    <n v="3735"/>
    <s v="Low"/>
  </r>
  <r>
    <s v="Nancy Njeri"/>
    <x v="2"/>
    <x v="3"/>
    <x v="2"/>
    <n v="35"/>
    <n v="0"/>
    <n v="350"/>
    <n v="0"/>
    <n v="0"/>
    <n v="12250"/>
    <n v="0"/>
    <s v="Low"/>
  </r>
  <r>
    <s v="Eric Mwangi"/>
    <x v="3"/>
    <x v="0"/>
    <x v="0"/>
    <n v="47"/>
    <n v="11"/>
    <n v="630"/>
    <n v="160000"/>
    <n v="55000"/>
    <n v="29610"/>
    <n v="10395"/>
    <s v="Low"/>
  </r>
  <r>
    <s v=""/>
    <x v="5"/>
    <x v="5"/>
    <x v="5"/>
    <m/>
    <m/>
    <m/>
    <m/>
    <m/>
    <m/>
    <m/>
    <m/>
  </r>
  <r>
    <s v=""/>
    <x v="5"/>
    <x v="5"/>
    <x v="5"/>
    <m/>
    <m/>
    <m/>
    <m/>
    <m/>
    <m/>
    <m/>
    <m/>
  </r>
  <r>
    <s v=""/>
    <x v="5"/>
    <x v="5"/>
    <x v="5"/>
    <m/>
    <m/>
    <m/>
    <m/>
    <m/>
    <m/>
    <m/>
    <m/>
  </r>
  <r>
    <s v=""/>
    <x v="5"/>
    <x v="5"/>
    <x v="5"/>
    <m/>
    <m/>
    <m/>
    <m/>
    <m/>
    <m/>
    <m/>
    <m/>
  </r>
  <r>
    <s v=""/>
    <x v="5"/>
    <x v="6"/>
    <x v="5"/>
    <m/>
    <m/>
    <m/>
    <m/>
    <m/>
    <m/>
    <m/>
    <m/>
  </r>
  <r>
    <s v=""/>
    <x v="5"/>
    <x v="6"/>
    <x v="5"/>
    <m/>
    <m/>
    <m/>
    <m/>
    <m/>
    <m/>
    <m/>
    <m/>
  </r>
  <r>
    <s v=""/>
    <x v="5"/>
    <x v="6"/>
    <x v="5"/>
    <m/>
    <m/>
    <m/>
    <m/>
    <m/>
    <m/>
    <m/>
    <m/>
  </r>
  <r>
    <m/>
    <x v="5"/>
    <x v="6"/>
    <x v="5"/>
    <m/>
    <m/>
    <m/>
    <m/>
    <m/>
    <m/>
    <m/>
    <m/>
  </r>
  <r>
    <m/>
    <x v="5"/>
    <x v="6"/>
    <x v="5"/>
    <m/>
    <m/>
    <m/>
    <m/>
    <m/>
    <m/>
    <m/>
    <m/>
  </r>
  <r>
    <m/>
    <x v="5"/>
    <x v="6"/>
    <x v="5"/>
    <m/>
    <m/>
    <m/>
    <m/>
    <m/>
    <m/>
    <m/>
    <m/>
  </r>
  <r>
    <m/>
    <x v="6"/>
    <x v="6"/>
    <x v="5"/>
    <m/>
    <m/>
    <m/>
    <m/>
    <m/>
    <m/>
    <m/>
    <m/>
  </r>
  <r>
    <m/>
    <x v="6"/>
    <x v="6"/>
    <x v="5"/>
    <m/>
    <m/>
    <m/>
    <m/>
    <m/>
    <m/>
    <m/>
    <m/>
  </r>
  <r>
    <m/>
    <x v="6"/>
    <x v="6"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050E4-4B78-4799-B03B-ED9DD4D42060}" name="PivotTable6" cacheId="1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L10" firstHeaderRow="1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3"/>
        <item x="4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246E4-5AD8-48C4-B48C-A28BEA34A0ED}" name="PivotTable5" cacheId="1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G11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8">
        <item x="5"/>
        <item x="0"/>
        <item x="3"/>
        <item x="1"/>
        <item x="4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31969-065D-4CF0-BBBC-5F869DAEAEE5}" name="PivotTable4" cacheId="1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12">
    <pivotField compact="0" outline="0" showAll="0"/>
    <pivotField axis="axisRow" compact="0" outline="0" showAll="0">
      <items count="8">
        <item x="5"/>
        <item x="4"/>
        <item x="2"/>
        <item x="3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926E-550B-46DB-A583-F7F82C8D459A}">
  <dimension ref="A1:I26"/>
  <sheetViews>
    <sheetView topLeftCell="A11" workbookViewId="0">
      <selection sqref="A1:I26"/>
    </sheetView>
  </sheetViews>
  <sheetFormatPr defaultRowHeight="15"/>
  <cols>
    <col min="1" max="1" width="36.5703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7</v>
      </c>
      <c r="C2" t="s">
        <v>10</v>
      </c>
      <c r="D2" t="s">
        <v>11</v>
      </c>
      <c r="E2">
        <v>40</v>
      </c>
      <c r="F2">
        <v>5</v>
      </c>
      <c r="G2">
        <v>500</v>
      </c>
      <c r="H2">
        <v>120000</v>
      </c>
      <c r="I2">
        <v>30000</v>
      </c>
    </row>
    <row r="3" spans="1:9">
      <c r="A3" s="1" t="s">
        <v>12</v>
      </c>
      <c r="B3" t="s">
        <v>13</v>
      </c>
      <c r="C3" t="s">
        <v>14</v>
      </c>
      <c r="D3" t="s">
        <v>15</v>
      </c>
      <c r="E3">
        <v>38</v>
      </c>
      <c r="F3">
        <v>2</v>
      </c>
      <c r="G3">
        <v>450</v>
      </c>
      <c r="H3">
        <v>95000</v>
      </c>
      <c r="I3">
        <v>20000</v>
      </c>
    </row>
    <row r="4" spans="1:9">
      <c r="A4" s="1" t="s">
        <v>16</v>
      </c>
      <c r="B4" t="s">
        <v>17</v>
      </c>
      <c r="C4" t="s">
        <v>18</v>
      </c>
      <c r="D4" t="s">
        <v>19</v>
      </c>
      <c r="E4">
        <v>42</v>
      </c>
      <c r="F4">
        <v>6</v>
      </c>
      <c r="G4">
        <v>400</v>
      </c>
      <c r="H4">
        <v>87000</v>
      </c>
      <c r="I4">
        <v>15000</v>
      </c>
    </row>
    <row r="5" spans="1:9">
      <c r="A5" s="1" t="s">
        <v>20</v>
      </c>
      <c r="B5" t="s">
        <v>21</v>
      </c>
      <c r="C5" t="s">
        <v>22</v>
      </c>
      <c r="D5" t="s">
        <v>23</v>
      </c>
      <c r="E5">
        <v>36</v>
      </c>
      <c r="F5">
        <v>0</v>
      </c>
      <c r="G5">
        <v>350</v>
      </c>
      <c r="H5">
        <v>0</v>
      </c>
      <c r="I5">
        <v>0</v>
      </c>
    </row>
    <row r="6" spans="1:9">
      <c r="A6" s="1" t="s">
        <v>24</v>
      </c>
      <c r="B6" t="s">
        <v>25</v>
      </c>
      <c r="C6" t="s">
        <v>26</v>
      </c>
      <c r="D6" t="s">
        <v>11</v>
      </c>
      <c r="E6">
        <v>45</v>
      </c>
      <c r="F6">
        <v>10</v>
      </c>
      <c r="G6">
        <v>600</v>
      </c>
      <c r="H6">
        <v>150000</v>
      </c>
      <c r="I6">
        <v>50000</v>
      </c>
    </row>
    <row r="7" spans="1:9">
      <c r="A7" s="1" t="s">
        <v>27</v>
      </c>
      <c r="B7" t="s">
        <v>28</v>
      </c>
      <c r="C7" t="s">
        <v>29</v>
      </c>
      <c r="D7" t="s">
        <v>30</v>
      </c>
      <c r="E7">
        <v>40</v>
      </c>
      <c r="F7">
        <v>4</v>
      </c>
      <c r="G7">
        <v>550</v>
      </c>
      <c r="H7">
        <v>60000</v>
      </c>
      <c r="I7">
        <v>10000</v>
      </c>
    </row>
    <row r="8" spans="1:9">
      <c r="A8" s="1" t="s">
        <v>31</v>
      </c>
      <c r="B8" t="s">
        <v>7</v>
      </c>
      <c r="C8" t="s">
        <v>32</v>
      </c>
      <c r="D8" t="s">
        <v>33</v>
      </c>
      <c r="E8">
        <v>39</v>
      </c>
      <c r="F8">
        <v>3</v>
      </c>
      <c r="G8">
        <v>500</v>
      </c>
      <c r="H8">
        <v>110000</v>
      </c>
      <c r="I8">
        <v>25000</v>
      </c>
    </row>
    <row r="9" spans="1:9">
      <c r="A9" s="1" t="s">
        <v>34</v>
      </c>
      <c r="B9" t="s">
        <v>17</v>
      </c>
      <c r="C9" t="s">
        <v>35</v>
      </c>
      <c r="D9" t="s">
        <v>36</v>
      </c>
      <c r="E9">
        <v>41</v>
      </c>
      <c r="F9">
        <v>5</v>
      </c>
      <c r="G9">
        <v>420</v>
      </c>
      <c r="H9">
        <v>92000</v>
      </c>
      <c r="I9">
        <v>18000</v>
      </c>
    </row>
    <row r="10" spans="1:9">
      <c r="A10" s="1" t="s">
        <v>37</v>
      </c>
      <c r="B10" t="s">
        <v>25</v>
      </c>
      <c r="C10" t="s">
        <v>10</v>
      </c>
      <c r="D10" t="s">
        <v>38</v>
      </c>
      <c r="E10">
        <v>44</v>
      </c>
      <c r="F10">
        <v>8</v>
      </c>
      <c r="G10">
        <v>600</v>
      </c>
      <c r="H10">
        <v>140000</v>
      </c>
      <c r="I10">
        <v>45000</v>
      </c>
    </row>
    <row r="11" spans="1:9">
      <c r="A11" s="1" t="s">
        <v>39</v>
      </c>
      <c r="B11" t="s">
        <v>21</v>
      </c>
      <c r="C11" t="s">
        <v>40</v>
      </c>
      <c r="D11" t="s">
        <v>41</v>
      </c>
      <c r="E11">
        <v>37</v>
      </c>
      <c r="F11">
        <v>1</v>
      </c>
      <c r="G11">
        <v>360</v>
      </c>
      <c r="H11">
        <v>0</v>
      </c>
      <c r="I11">
        <v>0</v>
      </c>
    </row>
    <row r="12" spans="1:9">
      <c r="A12" s="1" t="s">
        <v>42</v>
      </c>
      <c r="B12" t="s">
        <v>43</v>
      </c>
      <c r="C12" t="s">
        <v>44</v>
      </c>
      <c r="D12" t="s">
        <v>30</v>
      </c>
      <c r="E12">
        <v>40</v>
      </c>
      <c r="F12">
        <v>2</v>
      </c>
      <c r="G12">
        <v>550</v>
      </c>
      <c r="H12">
        <v>58000</v>
      </c>
      <c r="I12">
        <v>9000</v>
      </c>
    </row>
    <row r="13" spans="1:9">
      <c r="A13" s="1" t="s">
        <v>45</v>
      </c>
      <c r="B13" t="s">
        <v>7</v>
      </c>
      <c r="C13" t="s">
        <v>46</v>
      </c>
      <c r="D13" t="s">
        <v>47</v>
      </c>
      <c r="E13">
        <v>38</v>
      </c>
      <c r="F13">
        <v>4</v>
      </c>
      <c r="G13">
        <v>480</v>
      </c>
      <c r="H13">
        <v>105000</v>
      </c>
      <c r="I13">
        <v>22000</v>
      </c>
    </row>
    <row r="14" spans="1:9">
      <c r="A14" s="1" t="s">
        <v>48</v>
      </c>
      <c r="B14" t="s">
        <v>17</v>
      </c>
      <c r="C14" t="s">
        <v>18</v>
      </c>
      <c r="D14" t="s">
        <v>36</v>
      </c>
      <c r="E14">
        <v>43</v>
      </c>
      <c r="F14">
        <v>6</v>
      </c>
      <c r="G14">
        <v>410</v>
      </c>
      <c r="H14">
        <v>89000</v>
      </c>
      <c r="I14">
        <v>16000</v>
      </c>
    </row>
    <row r="15" spans="1:9">
      <c r="A15" s="1" t="s">
        <v>49</v>
      </c>
      <c r="B15" t="s">
        <v>21</v>
      </c>
      <c r="C15" t="s">
        <v>22</v>
      </c>
      <c r="D15" t="s">
        <v>23</v>
      </c>
      <c r="E15">
        <v>35</v>
      </c>
      <c r="F15">
        <v>0</v>
      </c>
      <c r="G15">
        <v>350</v>
      </c>
      <c r="H15">
        <v>0</v>
      </c>
      <c r="I15">
        <v>0</v>
      </c>
    </row>
    <row r="16" spans="1:9">
      <c r="A16" s="1" t="s">
        <v>50</v>
      </c>
      <c r="B16" t="s">
        <v>25</v>
      </c>
      <c r="C16" t="s">
        <v>51</v>
      </c>
      <c r="D16" t="s">
        <v>38</v>
      </c>
      <c r="E16">
        <v>46</v>
      </c>
      <c r="F16">
        <v>9</v>
      </c>
      <c r="G16">
        <v>620</v>
      </c>
      <c r="H16">
        <v>155000</v>
      </c>
      <c r="I16">
        <v>52000</v>
      </c>
    </row>
    <row r="17" spans="1:9">
      <c r="A17" s="1" t="s">
        <v>52</v>
      </c>
      <c r="B17" t="s">
        <v>43</v>
      </c>
      <c r="C17" t="s">
        <v>44</v>
      </c>
      <c r="D17" t="s">
        <v>30</v>
      </c>
      <c r="E17">
        <v>39</v>
      </c>
      <c r="F17">
        <v>3</v>
      </c>
      <c r="G17">
        <v>540</v>
      </c>
      <c r="H17">
        <v>61000</v>
      </c>
      <c r="I17">
        <v>11000</v>
      </c>
    </row>
    <row r="18" spans="1:9">
      <c r="A18" s="1" t="s">
        <v>53</v>
      </c>
      <c r="B18" t="s">
        <v>7</v>
      </c>
      <c r="C18" t="s">
        <v>46</v>
      </c>
      <c r="D18" t="s">
        <v>47</v>
      </c>
      <c r="E18">
        <v>40</v>
      </c>
      <c r="F18">
        <v>5</v>
      </c>
      <c r="G18">
        <v>500</v>
      </c>
      <c r="H18">
        <v>115000</v>
      </c>
      <c r="I18">
        <v>26000</v>
      </c>
    </row>
    <row r="19" spans="1:9">
      <c r="A19" s="1" t="s">
        <v>54</v>
      </c>
      <c r="B19" t="s">
        <v>17</v>
      </c>
      <c r="C19" t="s">
        <v>35</v>
      </c>
      <c r="D19" t="s">
        <v>36</v>
      </c>
      <c r="E19">
        <v>42</v>
      </c>
      <c r="F19">
        <v>7</v>
      </c>
      <c r="G19">
        <v>430</v>
      </c>
      <c r="H19">
        <v>93000</v>
      </c>
      <c r="I19">
        <v>19000</v>
      </c>
    </row>
    <row r="20" spans="1:9">
      <c r="A20" s="1" t="s">
        <v>55</v>
      </c>
      <c r="B20" t="s">
        <v>25</v>
      </c>
      <c r="C20" t="s">
        <v>10</v>
      </c>
      <c r="D20" t="s">
        <v>38</v>
      </c>
      <c r="E20">
        <v>45</v>
      </c>
      <c r="F20">
        <v>10</v>
      </c>
      <c r="G20">
        <v>610</v>
      </c>
      <c r="H20">
        <v>148000</v>
      </c>
      <c r="I20">
        <v>48000</v>
      </c>
    </row>
    <row r="21" spans="1:9">
      <c r="A21" s="1" t="s">
        <v>56</v>
      </c>
      <c r="B21" t="s">
        <v>21</v>
      </c>
      <c r="C21" t="s">
        <v>40</v>
      </c>
      <c r="D21" t="s">
        <v>23</v>
      </c>
      <c r="E21">
        <v>36</v>
      </c>
      <c r="F21">
        <v>0</v>
      </c>
      <c r="G21">
        <v>355</v>
      </c>
      <c r="H21">
        <v>0</v>
      </c>
      <c r="I21">
        <v>0</v>
      </c>
    </row>
    <row r="22" spans="1:9">
      <c r="A22" s="1" t="s">
        <v>57</v>
      </c>
      <c r="B22" t="s">
        <v>43</v>
      </c>
      <c r="C22" t="s">
        <v>29</v>
      </c>
      <c r="D22" t="s">
        <v>30</v>
      </c>
      <c r="E22">
        <v>41</v>
      </c>
      <c r="F22">
        <v>4</v>
      </c>
      <c r="G22">
        <v>560</v>
      </c>
      <c r="H22">
        <v>62000</v>
      </c>
      <c r="I22">
        <v>12000</v>
      </c>
    </row>
    <row r="23" spans="1:9">
      <c r="A23" s="1" t="s">
        <v>58</v>
      </c>
      <c r="B23" t="s">
        <v>7</v>
      </c>
      <c r="C23" t="s">
        <v>14</v>
      </c>
      <c r="D23" t="s">
        <v>47</v>
      </c>
      <c r="E23">
        <v>37</v>
      </c>
      <c r="F23">
        <v>2</v>
      </c>
      <c r="G23">
        <v>470</v>
      </c>
      <c r="H23">
        <v>100000</v>
      </c>
      <c r="I23">
        <v>21000</v>
      </c>
    </row>
    <row r="24" spans="1:9">
      <c r="A24" s="1" t="s">
        <v>59</v>
      </c>
      <c r="B24" t="s">
        <v>17</v>
      </c>
      <c r="C24" t="s">
        <v>18</v>
      </c>
      <c r="D24" t="s">
        <v>36</v>
      </c>
      <c r="E24">
        <v>44</v>
      </c>
      <c r="F24">
        <v>6</v>
      </c>
      <c r="G24">
        <v>415</v>
      </c>
      <c r="H24">
        <v>91000</v>
      </c>
      <c r="I24">
        <v>17000</v>
      </c>
    </row>
    <row r="25" spans="1:9">
      <c r="A25" s="1" t="s">
        <v>60</v>
      </c>
      <c r="B25" t="s">
        <v>21</v>
      </c>
      <c r="C25" t="s">
        <v>22</v>
      </c>
      <c r="D25" t="s">
        <v>23</v>
      </c>
      <c r="E25">
        <v>35</v>
      </c>
      <c r="F25">
        <v>0</v>
      </c>
      <c r="G25">
        <v>350</v>
      </c>
      <c r="H25">
        <v>0</v>
      </c>
      <c r="I25">
        <v>0</v>
      </c>
    </row>
    <row r="26" spans="1:9">
      <c r="A26" s="1" t="s">
        <v>61</v>
      </c>
      <c r="B26" t="s">
        <v>25</v>
      </c>
      <c r="C26" t="s">
        <v>10</v>
      </c>
      <c r="D26" t="s">
        <v>38</v>
      </c>
      <c r="E26">
        <v>47</v>
      </c>
      <c r="F26">
        <v>11</v>
      </c>
      <c r="G26">
        <v>630</v>
      </c>
      <c r="H26">
        <v>160000</v>
      </c>
      <c r="I26">
        <v>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8050-B286-463B-936F-B1245F498B7D}">
  <dimension ref="A1:L39"/>
  <sheetViews>
    <sheetView workbookViewId="0"/>
  </sheetViews>
  <sheetFormatPr defaultRowHeight="15"/>
  <cols>
    <col min="1" max="1" width="36.5703125" bestFit="1" customWidth="1"/>
    <col min="2" max="2" width="11.7109375" customWidth="1"/>
    <col min="10" max="10" width="9.5703125" bestFit="1" customWidth="1"/>
    <col min="11" max="11" width="20.42578125" bestFit="1" customWidth="1"/>
    <col min="12" max="12" width="15.5703125" customWidth="1"/>
  </cols>
  <sheetData>
    <row r="1" spans="1:12" ht="85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62</v>
      </c>
      <c r="K1" s="3" t="s">
        <v>63</v>
      </c>
      <c r="L1" s="3" t="s">
        <v>64</v>
      </c>
    </row>
    <row r="2" spans="1:12">
      <c r="A2" s="1" t="str">
        <f>PROPER(TRIM('Raw Data'!A2))</f>
        <v>John Kamau</v>
      </c>
      <c r="B2" t="str">
        <f>UPPER(TRIM('Raw Data'!B2))</f>
        <v>SALES</v>
      </c>
      <c r="C2" t="str">
        <f>PROPER(TRIM('Raw Data'!C2))</f>
        <v>Laptop</v>
      </c>
      <c r="D2" t="str">
        <f>PROPER(TRIM('Raw Data'!D2))</f>
        <v>Nairobi</v>
      </c>
      <c r="E2">
        <v>40</v>
      </c>
      <c r="F2">
        <v>5</v>
      </c>
      <c r="G2">
        <v>500</v>
      </c>
      <c r="H2">
        <v>120000</v>
      </c>
      <c r="I2">
        <v>30000</v>
      </c>
      <c r="J2">
        <f>E2*G2</f>
        <v>20000</v>
      </c>
      <c r="K2">
        <f>F2*G2*1.5</f>
        <v>3750</v>
      </c>
      <c r="L2" t="str">
        <f>IF(I2&gt;120000,"Top Performer",IF(I2&gt;90000,"Average","Low"))</f>
        <v>Low</v>
      </c>
    </row>
    <row r="3" spans="1:12">
      <c r="A3" s="1" t="str">
        <f>PROPER(TRIM('Raw Data'!A3))</f>
        <v>Mary Wanjiku</v>
      </c>
      <c r="B3" t="str">
        <f>UPPER(TRIM('Raw Data'!B3))</f>
        <v>SALES</v>
      </c>
      <c r="C3" t="str">
        <f>PROPER(TRIM('Raw Data'!C3))</f>
        <v>Phone</v>
      </c>
      <c r="D3" t="str">
        <f>PROPER(TRIM('Raw Data'!D3))</f>
        <v>Nairobi</v>
      </c>
      <c r="E3">
        <v>38</v>
      </c>
      <c r="F3">
        <v>2</v>
      </c>
      <c r="G3">
        <v>450</v>
      </c>
      <c r="H3">
        <v>95000</v>
      </c>
      <c r="I3">
        <v>20000</v>
      </c>
      <c r="J3">
        <f t="shared" ref="J3:J26" si="0">E3*G3</f>
        <v>17100</v>
      </c>
      <c r="K3">
        <f t="shared" ref="K3:K26" si="1">F3*G3*1.5</f>
        <v>1350</v>
      </c>
      <c r="L3" t="str">
        <f t="shared" ref="L3:L26" si="2">IF(I3&gt;120000,"Top Performer",IF(I3&gt;90000,"Average","Low"))</f>
        <v>Low</v>
      </c>
    </row>
    <row r="4" spans="1:12">
      <c r="A4" s="1" t="str">
        <f>PROPER(TRIM('Raw Data'!A4))</f>
        <v>Peter Otieno</v>
      </c>
      <c r="B4" t="str">
        <f>UPPER(TRIM('Raw Data'!B4))</f>
        <v>MARKETING</v>
      </c>
      <c r="C4" t="str">
        <f>PROPER(TRIM('Raw Data'!C4))</f>
        <v>Tablet</v>
      </c>
      <c r="D4" t="str">
        <f>PROPER(TRIM('Raw Data'!D4))</f>
        <v>Mombasa</v>
      </c>
      <c r="E4">
        <v>42</v>
      </c>
      <c r="F4">
        <v>6</v>
      </c>
      <c r="G4">
        <v>400</v>
      </c>
      <c r="H4">
        <v>87000</v>
      </c>
      <c r="I4">
        <v>15000</v>
      </c>
      <c r="J4">
        <f t="shared" si="0"/>
        <v>16800</v>
      </c>
      <c r="K4">
        <f t="shared" si="1"/>
        <v>3600</v>
      </c>
      <c r="L4" t="str">
        <f t="shared" si="2"/>
        <v>Low</v>
      </c>
    </row>
    <row r="5" spans="1:12">
      <c r="A5" s="1" t="str">
        <f>PROPER(TRIM('Raw Data'!A5))</f>
        <v>Ann Njeri</v>
      </c>
      <c r="B5" t="str">
        <f>UPPER(TRIM('Raw Data'!B5))</f>
        <v>HR</v>
      </c>
      <c r="C5" t="str">
        <f>PROPER(TRIM('Raw Data'!C5))</f>
        <v>None</v>
      </c>
      <c r="D5" t="str">
        <f>PROPER(TRIM('Raw Data'!D5))</f>
        <v>Nakuru</v>
      </c>
      <c r="E5">
        <v>36</v>
      </c>
      <c r="F5">
        <v>0</v>
      </c>
      <c r="G5">
        <v>350</v>
      </c>
      <c r="H5">
        <v>0</v>
      </c>
      <c r="I5">
        <v>0</v>
      </c>
      <c r="J5">
        <f t="shared" si="0"/>
        <v>12600</v>
      </c>
      <c r="K5">
        <f t="shared" si="1"/>
        <v>0</v>
      </c>
      <c r="L5" t="str">
        <f t="shared" si="2"/>
        <v>Low</v>
      </c>
    </row>
    <row r="6" spans="1:12">
      <c r="A6" s="1" t="str">
        <f>PROPER(TRIM('Raw Data'!A6))</f>
        <v>James Mwangi</v>
      </c>
      <c r="B6" t="str">
        <f>UPPER(TRIM('Raw Data'!B6))</f>
        <v>IT</v>
      </c>
      <c r="C6" t="str">
        <f>PROPER(TRIM('Raw Data'!C6))</f>
        <v>Laptop</v>
      </c>
      <c r="D6" t="str">
        <f>PROPER(TRIM('Raw Data'!D6))</f>
        <v>Nairobi</v>
      </c>
      <c r="E6">
        <v>45</v>
      </c>
      <c r="F6">
        <v>10</v>
      </c>
      <c r="G6">
        <v>600</v>
      </c>
      <c r="H6">
        <v>150000</v>
      </c>
      <c r="I6">
        <v>50000</v>
      </c>
      <c r="J6">
        <f t="shared" si="0"/>
        <v>27000</v>
      </c>
      <c r="K6">
        <f t="shared" si="1"/>
        <v>9000</v>
      </c>
      <c r="L6" t="str">
        <f t="shared" si="2"/>
        <v>Low</v>
      </c>
    </row>
    <row r="7" spans="1:12">
      <c r="A7" s="1" t="str">
        <f>PROPER(TRIM('Raw Data'!A7))</f>
        <v>Linda Cherono</v>
      </c>
      <c r="B7" t="str">
        <f>UPPER(TRIM('Raw Data'!B7))</f>
        <v>FINANCE</v>
      </c>
      <c r="C7" t="str">
        <f>PROPER(TRIM('Raw Data'!C7))</f>
        <v>Printer</v>
      </c>
      <c r="D7" t="str">
        <f>PROPER(TRIM('Raw Data'!D7))</f>
        <v>Eldoret</v>
      </c>
      <c r="E7">
        <v>40</v>
      </c>
      <c r="F7">
        <v>4</v>
      </c>
      <c r="G7">
        <v>550</v>
      </c>
      <c r="H7">
        <v>60000</v>
      </c>
      <c r="I7">
        <v>10000</v>
      </c>
      <c r="J7">
        <f t="shared" si="0"/>
        <v>22000</v>
      </c>
      <c r="K7">
        <f t="shared" si="1"/>
        <v>3300</v>
      </c>
      <c r="L7" t="str">
        <f t="shared" si="2"/>
        <v>Low</v>
      </c>
    </row>
    <row r="8" spans="1:12">
      <c r="A8" s="1" t="str">
        <f>PROPER(TRIM('Raw Data'!A8))</f>
        <v>Kevin Kiptoo</v>
      </c>
      <c r="B8" t="str">
        <f>UPPER(TRIM('Raw Data'!B8))</f>
        <v>SALES</v>
      </c>
      <c r="C8" t="str">
        <f>PROPER(TRIM('Raw Data'!C8))</f>
        <v>Phone</v>
      </c>
      <c r="D8" t="str">
        <f>PROPER(TRIM('Raw Data'!D8))</f>
        <v>Kisumu</v>
      </c>
      <c r="E8">
        <v>39</v>
      </c>
      <c r="F8">
        <v>3</v>
      </c>
      <c r="G8">
        <v>500</v>
      </c>
      <c r="H8">
        <v>110000</v>
      </c>
      <c r="I8">
        <v>25000</v>
      </c>
      <c r="J8">
        <f t="shared" si="0"/>
        <v>19500</v>
      </c>
      <c r="K8">
        <f t="shared" si="1"/>
        <v>2250</v>
      </c>
      <c r="L8" t="str">
        <f t="shared" si="2"/>
        <v>Low</v>
      </c>
    </row>
    <row r="9" spans="1:12">
      <c r="A9" s="1" t="str">
        <f>PROPER(TRIM('Raw Data'!A9))</f>
        <v>Susan Achieng</v>
      </c>
      <c r="B9" t="str">
        <f>UPPER(TRIM('Raw Data'!B9))</f>
        <v>MARKETING</v>
      </c>
      <c r="C9" t="str">
        <f>PROPER(TRIM('Raw Data'!C9))</f>
        <v>Tablet</v>
      </c>
      <c r="D9" t="str">
        <f>PROPER(TRIM('Raw Data'!D9))</f>
        <v>Mombasa</v>
      </c>
      <c r="E9">
        <v>41</v>
      </c>
      <c r="F9">
        <v>5</v>
      </c>
      <c r="G9">
        <v>420</v>
      </c>
      <c r="H9">
        <v>92000</v>
      </c>
      <c r="I9">
        <v>18000</v>
      </c>
      <c r="J9">
        <f t="shared" si="0"/>
        <v>17220</v>
      </c>
      <c r="K9">
        <f t="shared" si="1"/>
        <v>3150</v>
      </c>
      <c r="L9" t="str">
        <f t="shared" si="2"/>
        <v>Low</v>
      </c>
    </row>
    <row r="10" spans="1:12">
      <c r="A10" s="1" t="str">
        <f>PROPER(TRIM('Raw Data'!A10))</f>
        <v>Brian Mutiso</v>
      </c>
      <c r="B10" t="str">
        <f>UPPER(TRIM('Raw Data'!B10))</f>
        <v>IT</v>
      </c>
      <c r="C10" t="str">
        <f>PROPER(TRIM('Raw Data'!C10))</f>
        <v>Laptop</v>
      </c>
      <c r="D10" t="str">
        <f>PROPER(TRIM('Raw Data'!D10))</f>
        <v>Nairobi</v>
      </c>
      <c r="E10">
        <v>44</v>
      </c>
      <c r="F10">
        <v>8</v>
      </c>
      <c r="G10">
        <v>600</v>
      </c>
      <c r="H10">
        <v>140000</v>
      </c>
      <c r="I10">
        <v>45000</v>
      </c>
      <c r="J10">
        <f t="shared" si="0"/>
        <v>26400</v>
      </c>
      <c r="K10">
        <f t="shared" si="1"/>
        <v>7200</v>
      </c>
      <c r="L10" t="str">
        <f t="shared" si="2"/>
        <v>Low</v>
      </c>
    </row>
    <row r="11" spans="1:12">
      <c r="A11" s="1" t="str">
        <f>PROPER(TRIM('Raw Data'!A11))</f>
        <v>Grace Wairimu</v>
      </c>
      <c r="B11" t="str">
        <f>UPPER(TRIM('Raw Data'!B11))</f>
        <v>HR</v>
      </c>
      <c r="C11" t="str">
        <f>PROPER(TRIM('Raw Data'!C11))</f>
        <v>None</v>
      </c>
      <c r="D11" t="str">
        <f>PROPER(TRIM('Raw Data'!D11))</f>
        <v>Nakuru</v>
      </c>
      <c r="E11">
        <v>37</v>
      </c>
      <c r="F11">
        <v>1</v>
      </c>
      <c r="G11">
        <v>360</v>
      </c>
      <c r="H11">
        <v>0</v>
      </c>
      <c r="I11">
        <v>0</v>
      </c>
      <c r="J11">
        <f t="shared" si="0"/>
        <v>13320</v>
      </c>
      <c r="K11">
        <f t="shared" si="1"/>
        <v>540</v>
      </c>
      <c r="L11" t="str">
        <f t="shared" si="2"/>
        <v>Low</v>
      </c>
    </row>
    <row r="12" spans="1:12">
      <c r="A12" s="1" t="str">
        <f>PROPER(TRIM('Raw Data'!A12))</f>
        <v>Daniel Kirui</v>
      </c>
      <c r="B12" t="str">
        <f>UPPER(TRIM('Raw Data'!B12))</f>
        <v>FINANCE</v>
      </c>
      <c r="C12" t="str">
        <f>PROPER(TRIM('Raw Data'!C12))</f>
        <v>Printer</v>
      </c>
      <c r="D12" t="str">
        <f>PROPER(TRIM('Raw Data'!D12))</f>
        <v>Eldoret</v>
      </c>
      <c r="E12">
        <v>40</v>
      </c>
      <c r="F12">
        <v>2</v>
      </c>
      <c r="G12">
        <v>550</v>
      </c>
      <c r="H12">
        <v>58000</v>
      </c>
      <c r="I12">
        <v>9000</v>
      </c>
      <c r="J12">
        <f t="shared" si="0"/>
        <v>22000</v>
      </c>
      <c r="K12">
        <f t="shared" si="1"/>
        <v>1650</v>
      </c>
      <c r="L12" t="str">
        <f t="shared" si="2"/>
        <v>Low</v>
      </c>
    </row>
    <row r="13" spans="1:12">
      <c r="A13" s="1" t="str">
        <f>PROPER(TRIM('Raw Data'!A13))</f>
        <v>Mercy Atieno</v>
      </c>
      <c r="B13" t="str">
        <f>UPPER(TRIM('Raw Data'!B13))</f>
        <v>SALES</v>
      </c>
      <c r="C13" t="str">
        <f>PROPER(TRIM('Raw Data'!C13))</f>
        <v>Phone</v>
      </c>
      <c r="D13" t="str">
        <f>PROPER(TRIM('Raw Data'!D13))</f>
        <v>Kisumu</v>
      </c>
      <c r="E13">
        <v>38</v>
      </c>
      <c r="F13">
        <v>4</v>
      </c>
      <c r="G13">
        <v>480</v>
      </c>
      <c r="H13">
        <v>105000</v>
      </c>
      <c r="I13">
        <v>22000</v>
      </c>
      <c r="J13">
        <f t="shared" si="0"/>
        <v>18240</v>
      </c>
      <c r="K13">
        <f t="shared" si="1"/>
        <v>2880</v>
      </c>
      <c r="L13" t="str">
        <f t="shared" si="2"/>
        <v>Low</v>
      </c>
    </row>
    <row r="14" spans="1:12">
      <c r="A14" s="1" t="str">
        <f>PROPER(TRIM('Raw Data'!A14))</f>
        <v>Steve Otieno</v>
      </c>
      <c r="B14" t="str">
        <f>UPPER(TRIM('Raw Data'!B14))</f>
        <v>MARKETING</v>
      </c>
      <c r="C14" t="str">
        <f>PROPER(TRIM('Raw Data'!C14))</f>
        <v>Tablet</v>
      </c>
      <c r="D14" t="str">
        <f>PROPER(TRIM('Raw Data'!D14))</f>
        <v>Mombasa</v>
      </c>
      <c r="E14">
        <v>43</v>
      </c>
      <c r="F14">
        <v>6</v>
      </c>
      <c r="G14">
        <v>410</v>
      </c>
      <c r="H14">
        <v>89000</v>
      </c>
      <c r="I14">
        <v>16000</v>
      </c>
      <c r="J14">
        <f t="shared" si="0"/>
        <v>17630</v>
      </c>
      <c r="K14">
        <f t="shared" si="1"/>
        <v>3690</v>
      </c>
      <c r="L14" t="str">
        <f t="shared" si="2"/>
        <v>Low</v>
      </c>
    </row>
    <row r="15" spans="1:12">
      <c r="A15" s="1" t="str">
        <f>PROPER(TRIM('Raw Data'!A15))</f>
        <v>Carol Njeri</v>
      </c>
      <c r="B15" t="str">
        <f>UPPER(TRIM('Raw Data'!B15))</f>
        <v>HR</v>
      </c>
      <c r="C15" t="str">
        <f>PROPER(TRIM('Raw Data'!C15))</f>
        <v>None</v>
      </c>
      <c r="D15" t="str">
        <f>PROPER(TRIM('Raw Data'!D15))</f>
        <v>Nakuru</v>
      </c>
      <c r="E15">
        <v>35</v>
      </c>
      <c r="F15">
        <v>0</v>
      </c>
      <c r="G15">
        <v>350</v>
      </c>
      <c r="H15">
        <v>0</v>
      </c>
      <c r="I15">
        <v>0</v>
      </c>
      <c r="J15">
        <f t="shared" si="0"/>
        <v>12250</v>
      </c>
      <c r="K15">
        <f t="shared" si="1"/>
        <v>0</v>
      </c>
      <c r="L15" t="str">
        <f t="shared" si="2"/>
        <v>Low</v>
      </c>
    </row>
    <row r="16" spans="1:12">
      <c r="A16" s="1" t="str">
        <f>PROPER(TRIM('Raw Data'!A16))</f>
        <v>Paul Mwangi</v>
      </c>
      <c r="B16" t="str">
        <f>UPPER(TRIM('Raw Data'!B16))</f>
        <v>IT</v>
      </c>
      <c r="C16" t="str">
        <f>PROPER(TRIM('Raw Data'!C16))</f>
        <v>Laptop</v>
      </c>
      <c r="D16" t="str">
        <f>PROPER(TRIM('Raw Data'!D16))</f>
        <v>Nairobi</v>
      </c>
      <c r="E16">
        <v>46</v>
      </c>
      <c r="F16">
        <v>9</v>
      </c>
      <c r="G16">
        <v>620</v>
      </c>
      <c r="H16">
        <v>155000</v>
      </c>
      <c r="I16">
        <v>52000</v>
      </c>
      <c r="J16">
        <f t="shared" si="0"/>
        <v>28520</v>
      </c>
      <c r="K16">
        <f t="shared" si="1"/>
        <v>8370</v>
      </c>
      <c r="L16" t="str">
        <f t="shared" si="2"/>
        <v>Low</v>
      </c>
    </row>
    <row r="17" spans="1:12">
      <c r="A17" s="1" t="str">
        <f>PROPER(TRIM('Raw Data'!A17))</f>
        <v>Esther Wanjiru</v>
      </c>
      <c r="B17" t="str">
        <f>UPPER(TRIM('Raw Data'!B17))</f>
        <v>FINANCE</v>
      </c>
      <c r="C17" t="str">
        <f>PROPER(TRIM('Raw Data'!C17))</f>
        <v>Printer</v>
      </c>
      <c r="D17" t="str">
        <f>PROPER(TRIM('Raw Data'!D17))</f>
        <v>Eldoret</v>
      </c>
      <c r="E17">
        <v>39</v>
      </c>
      <c r="F17">
        <v>3</v>
      </c>
      <c r="G17">
        <v>540</v>
      </c>
      <c r="H17">
        <v>61000</v>
      </c>
      <c r="I17">
        <v>11000</v>
      </c>
      <c r="J17">
        <f t="shared" si="0"/>
        <v>21060</v>
      </c>
      <c r="K17">
        <f t="shared" si="1"/>
        <v>2430</v>
      </c>
      <c r="L17" t="str">
        <f t="shared" si="2"/>
        <v>Low</v>
      </c>
    </row>
    <row r="18" spans="1:12">
      <c r="A18" s="1" t="str">
        <f>PROPER(TRIM('Raw Data'!A18))</f>
        <v>Alex Kiptoo</v>
      </c>
      <c r="B18" t="str">
        <f>UPPER(TRIM('Raw Data'!B18))</f>
        <v>SALES</v>
      </c>
      <c r="C18" t="str">
        <f>PROPER(TRIM('Raw Data'!C18))</f>
        <v>Phone</v>
      </c>
      <c r="D18" t="str">
        <f>PROPER(TRIM('Raw Data'!D18))</f>
        <v>Kisumu</v>
      </c>
      <c r="E18">
        <v>40</v>
      </c>
      <c r="F18">
        <v>5</v>
      </c>
      <c r="G18">
        <v>500</v>
      </c>
      <c r="H18">
        <v>115000</v>
      </c>
      <c r="I18">
        <v>26000</v>
      </c>
      <c r="J18">
        <f t="shared" si="0"/>
        <v>20000</v>
      </c>
      <c r="K18">
        <f t="shared" si="1"/>
        <v>3750</v>
      </c>
      <c r="L18" t="str">
        <f t="shared" si="2"/>
        <v>Low</v>
      </c>
    </row>
    <row r="19" spans="1:12">
      <c r="A19" s="1" t="str">
        <f>PROPER(TRIM('Raw Data'!A19))</f>
        <v>Ruth Chebet</v>
      </c>
      <c r="B19" t="str">
        <f>UPPER(TRIM('Raw Data'!B19))</f>
        <v>MARKETING</v>
      </c>
      <c r="C19" t="str">
        <f>PROPER(TRIM('Raw Data'!C19))</f>
        <v>Tablet</v>
      </c>
      <c r="D19" t="str">
        <f>PROPER(TRIM('Raw Data'!D19))</f>
        <v>Mombasa</v>
      </c>
      <c r="E19">
        <v>42</v>
      </c>
      <c r="F19">
        <v>7</v>
      </c>
      <c r="G19">
        <v>430</v>
      </c>
      <c r="H19">
        <v>93000</v>
      </c>
      <c r="I19">
        <v>19000</v>
      </c>
      <c r="J19">
        <f t="shared" si="0"/>
        <v>18060</v>
      </c>
      <c r="K19">
        <f t="shared" si="1"/>
        <v>4515</v>
      </c>
      <c r="L19" t="str">
        <f t="shared" si="2"/>
        <v>Low</v>
      </c>
    </row>
    <row r="20" spans="1:12">
      <c r="A20" s="1" t="str">
        <f>PROPER(TRIM('Raw Data'!A20))</f>
        <v>George Mutua</v>
      </c>
      <c r="B20" t="str">
        <f>UPPER(TRIM('Raw Data'!B20))</f>
        <v>IT</v>
      </c>
      <c r="C20" t="str">
        <f>PROPER(TRIM('Raw Data'!C20))</f>
        <v>Laptop</v>
      </c>
      <c r="D20" t="str">
        <f>PROPER(TRIM('Raw Data'!D20))</f>
        <v>Nairobi</v>
      </c>
      <c r="E20">
        <v>45</v>
      </c>
      <c r="F20">
        <v>10</v>
      </c>
      <c r="G20">
        <v>610</v>
      </c>
      <c r="H20">
        <v>148000</v>
      </c>
      <c r="I20">
        <v>48000</v>
      </c>
      <c r="J20">
        <f t="shared" si="0"/>
        <v>27450</v>
      </c>
      <c r="K20">
        <f t="shared" si="1"/>
        <v>9150</v>
      </c>
      <c r="L20" t="str">
        <f t="shared" si="2"/>
        <v>Low</v>
      </c>
    </row>
    <row r="21" spans="1:12">
      <c r="A21" s="1" t="str">
        <f>PROPER(TRIM('Raw Data'!A21))</f>
        <v>Lucy Wanjiku</v>
      </c>
      <c r="B21" t="str">
        <f>UPPER(TRIM('Raw Data'!B21))</f>
        <v>HR</v>
      </c>
      <c r="C21" t="str">
        <f>PROPER(TRIM('Raw Data'!C21))</f>
        <v>None</v>
      </c>
      <c r="D21" t="str">
        <f>PROPER(TRIM('Raw Data'!D21))</f>
        <v>Nakuru</v>
      </c>
      <c r="E21">
        <v>36</v>
      </c>
      <c r="F21">
        <v>0</v>
      </c>
      <c r="G21">
        <v>355</v>
      </c>
      <c r="H21">
        <v>0</v>
      </c>
      <c r="I21">
        <v>0</v>
      </c>
      <c r="J21">
        <f t="shared" si="0"/>
        <v>12780</v>
      </c>
      <c r="K21">
        <f t="shared" si="1"/>
        <v>0</v>
      </c>
      <c r="L21" t="str">
        <f t="shared" si="2"/>
        <v>Low</v>
      </c>
    </row>
    <row r="22" spans="1:12">
      <c r="A22" s="1" t="str">
        <f>PROPER(TRIM('Raw Data'!A22))</f>
        <v>Samuel Kiptoo</v>
      </c>
      <c r="B22" t="str">
        <f>UPPER(TRIM('Raw Data'!B22))</f>
        <v>FINANCE</v>
      </c>
      <c r="C22" t="str">
        <f>PROPER(TRIM('Raw Data'!C22))</f>
        <v>Printer</v>
      </c>
      <c r="D22" t="str">
        <f>PROPER(TRIM('Raw Data'!D22))</f>
        <v>Eldoret</v>
      </c>
      <c r="E22">
        <v>41</v>
      </c>
      <c r="F22">
        <v>4</v>
      </c>
      <c r="G22">
        <v>560</v>
      </c>
      <c r="H22">
        <v>62000</v>
      </c>
      <c r="I22">
        <v>12000</v>
      </c>
      <c r="J22">
        <f t="shared" si="0"/>
        <v>22960</v>
      </c>
      <c r="K22">
        <f t="shared" si="1"/>
        <v>3360</v>
      </c>
      <c r="L22" t="str">
        <f t="shared" si="2"/>
        <v>Low</v>
      </c>
    </row>
    <row r="23" spans="1:12">
      <c r="A23" s="1" t="str">
        <f>PROPER(TRIM('Raw Data'!A23))</f>
        <v>Ivy Atieno</v>
      </c>
      <c r="B23" t="str">
        <f>UPPER(TRIM('Raw Data'!B23))</f>
        <v>SALES</v>
      </c>
      <c r="C23" t="str">
        <f>PROPER(TRIM('Raw Data'!C23))</f>
        <v>Phone</v>
      </c>
      <c r="D23" t="str">
        <f>PROPER(TRIM('Raw Data'!D23))</f>
        <v>Kisumu</v>
      </c>
      <c r="E23">
        <v>37</v>
      </c>
      <c r="F23">
        <v>2</v>
      </c>
      <c r="G23">
        <v>470</v>
      </c>
      <c r="H23">
        <v>100000</v>
      </c>
      <c r="I23">
        <v>21000</v>
      </c>
      <c r="J23">
        <f t="shared" si="0"/>
        <v>17390</v>
      </c>
      <c r="K23">
        <f t="shared" si="1"/>
        <v>1410</v>
      </c>
      <c r="L23" t="str">
        <f t="shared" si="2"/>
        <v>Low</v>
      </c>
    </row>
    <row r="24" spans="1:12">
      <c r="A24" s="1" t="str">
        <f>PROPER(TRIM('Raw Data'!A24))</f>
        <v>Mark Otieno</v>
      </c>
      <c r="B24" t="str">
        <f>UPPER(TRIM('Raw Data'!B24))</f>
        <v>MARKETING</v>
      </c>
      <c r="C24" t="str">
        <f>PROPER(TRIM('Raw Data'!C24))</f>
        <v>Tablet</v>
      </c>
      <c r="D24" t="str">
        <f>PROPER(TRIM('Raw Data'!D24))</f>
        <v>Mombasa</v>
      </c>
      <c r="E24">
        <v>44</v>
      </c>
      <c r="F24">
        <v>6</v>
      </c>
      <c r="G24">
        <v>415</v>
      </c>
      <c r="H24">
        <v>91000</v>
      </c>
      <c r="I24">
        <v>17000</v>
      </c>
      <c r="J24">
        <f t="shared" si="0"/>
        <v>18260</v>
      </c>
      <c r="K24">
        <f t="shared" si="1"/>
        <v>3735</v>
      </c>
      <c r="L24" t="str">
        <f t="shared" si="2"/>
        <v>Low</v>
      </c>
    </row>
    <row r="25" spans="1:12">
      <c r="A25" s="1" t="str">
        <f>PROPER(TRIM('Raw Data'!A25))</f>
        <v>Nancy Njeri</v>
      </c>
      <c r="B25" t="str">
        <f>UPPER(TRIM('Raw Data'!B25))</f>
        <v>HR</v>
      </c>
      <c r="C25" t="str">
        <f>PROPER(TRIM('Raw Data'!C25))</f>
        <v>None</v>
      </c>
      <c r="D25" t="str">
        <f>PROPER(TRIM('Raw Data'!D25))</f>
        <v>Nakuru</v>
      </c>
      <c r="E25">
        <v>35</v>
      </c>
      <c r="F25">
        <v>0</v>
      </c>
      <c r="G25">
        <v>350</v>
      </c>
      <c r="H25">
        <v>0</v>
      </c>
      <c r="I25">
        <v>0</v>
      </c>
      <c r="J25">
        <f t="shared" si="0"/>
        <v>12250</v>
      </c>
      <c r="K25">
        <f t="shared" si="1"/>
        <v>0</v>
      </c>
      <c r="L25" t="str">
        <f t="shared" si="2"/>
        <v>Low</v>
      </c>
    </row>
    <row r="26" spans="1:12">
      <c r="A26" s="1" t="str">
        <f>PROPER(TRIM('Raw Data'!A26))</f>
        <v>Eric Mwangi</v>
      </c>
      <c r="B26" t="str">
        <f>UPPER(TRIM('Raw Data'!B26))</f>
        <v>IT</v>
      </c>
      <c r="C26" t="str">
        <f>PROPER(TRIM('Raw Data'!C26))</f>
        <v>Laptop</v>
      </c>
      <c r="D26" t="str">
        <f>PROPER(TRIM('Raw Data'!D26))</f>
        <v>Nairobi</v>
      </c>
      <c r="E26">
        <v>47</v>
      </c>
      <c r="F26">
        <v>11</v>
      </c>
      <c r="G26">
        <v>630</v>
      </c>
      <c r="H26">
        <v>160000</v>
      </c>
      <c r="I26">
        <v>55000</v>
      </c>
      <c r="J26">
        <f t="shared" si="0"/>
        <v>29610</v>
      </c>
      <c r="K26">
        <f t="shared" si="1"/>
        <v>10395</v>
      </c>
      <c r="L26" t="str">
        <f t="shared" si="2"/>
        <v>Low</v>
      </c>
    </row>
    <row r="27" spans="1:12">
      <c r="A27" s="1" t="str">
        <f>PROPER(TRIM('Raw Data'!A27))</f>
        <v/>
      </c>
      <c r="B27" t="str">
        <f>UPPER(TRIM('Raw Data'!B27))</f>
        <v/>
      </c>
      <c r="C27" t="str">
        <f>PROPER(TRIM('Raw Data'!C27))</f>
        <v/>
      </c>
      <c r="D27" t="str">
        <f>PROPER(TRIM('Raw Data'!D27))</f>
        <v/>
      </c>
    </row>
    <row r="28" spans="1:12">
      <c r="A28" s="1" t="str">
        <f>PROPER(TRIM('Raw Data'!A28))</f>
        <v/>
      </c>
      <c r="B28" t="str">
        <f>UPPER(TRIM('Raw Data'!B28))</f>
        <v/>
      </c>
      <c r="C28" t="str">
        <f>PROPER(TRIM('Raw Data'!C28))</f>
        <v/>
      </c>
      <c r="D28" t="str">
        <f>PROPER(TRIM('Raw Data'!D28))</f>
        <v/>
      </c>
    </row>
    <row r="29" spans="1:12">
      <c r="A29" s="1" t="str">
        <f>PROPER(TRIM('Raw Data'!A29))</f>
        <v/>
      </c>
      <c r="B29" t="str">
        <f>UPPER(TRIM('Raw Data'!B29))</f>
        <v/>
      </c>
      <c r="C29" t="str">
        <f>PROPER(TRIM('Raw Data'!C29))</f>
        <v/>
      </c>
      <c r="D29" t="str">
        <f>PROPER(TRIM('Raw Data'!D29))</f>
        <v/>
      </c>
    </row>
    <row r="30" spans="1:12">
      <c r="A30" s="1" t="str">
        <f>PROPER(TRIM('Raw Data'!A30))</f>
        <v/>
      </c>
      <c r="B30" t="str">
        <f>UPPER(TRIM('Raw Data'!B30))</f>
        <v/>
      </c>
      <c r="C30" t="str">
        <f>PROPER(TRIM('Raw Data'!C30))</f>
        <v/>
      </c>
      <c r="D30" t="str">
        <f>PROPER(TRIM('Raw Data'!D30))</f>
        <v/>
      </c>
    </row>
    <row r="31" spans="1:12">
      <c r="A31" s="1" t="str">
        <f>PROPER(TRIM('Raw Data'!A31))</f>
        <v/>
      </c>
      <c r="B31" t="str">
        <f>UPPER(TRIM('Raw Data'!B31))</f>
        <v/>
      </c>
      <c r="D31" t="str">
        <f>PROPER(TRIM('Raw Data'!D31))</f>
        <v/>
      </c>
    </row>
    <row r="32" spans="1:12">
      <c r="A32" s="1" t="str">
        <f>PROPER(TRIM('Raw Data'!A32))</f>
        <v/>
      </c>
      <c r="B32" t="str">
        <f>UPPER(TRIM('Raw Data'!B32))</f>
        <v/>
      </c>
      <c r="D32" t="str">
        <f>PROPER(TRIM('Raw Data'!D32))</f>
        <v/>
      </c>
    </row>
    <row r="33" spans="1:4">
      <c r="A33" s="1" t="str">
        <f>PROPER(TRIM('Raw Data'!A33))</f>
        <v/>
      </c>
      <c r="B33" t="str">
        <f>UPPER(TRIM('Raw Data'!B33))</f>
        <v/>
      </c>
      <c r="D33" t="str">
        <f>PROPER(TRIM('Raw Data'!D33))</f>
        <v/>
      </c>
    </row>
    <row r="34" spans="1:4">
      <c r="B34" t="str">
        <f>UPPER(TRIM('Raw Data'!B34))</f>
        <v/>
      </c>
      <c r="D34" t="str">
        <f>PROPER(TRIM('Raw Data'!D34))</f>
        <v/>
      </c>
    </row>
    <row r="35" spans="1:4">
      <c r="B35" t="str">
        <f>UPPER(TRIM('Raw Data'!B35))</f>
        <v/>
      </c>
      <c r="D35" t="str">
        <f>PROPER(TRIM('Raw Data'!D35))</f>
        <v/>
      </c>
    </row>
    <row r="36" spans="1:4">
      <c r="B36" t="str">
        <f>UPPER(TRIM('Raw Data'!B36))</f>
        <v/>
      </c>
      <c r="D36" t="str">
        <f>PROPER(TRIM('Raw Data'!D36))</f>
        <v/>
      </c>
    </row>
    <row r="37" spans="1:4">
      <c r="D37" t="str">
        <f>PROPER(TRIM('Raw Data'!D37))</f>
        <v/>
      </c>
    </row>
    <row r="38" spans="1:4">
      <c r="D38" t="str">
        <f>PROPER(TRIM('Raw Data'!D38))</f>
        <v/>
      </c>
    </row>
    <row r="39" spans="1:4">
      <c r="D39" t="str">
        <f>PROPER(TRIM('Raw Data'!D39))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E086-3DCB-4C03-8161-8F1FEE8F03FD}">
  <dimension ref="A3:L11"/>
  <sheetViews>
    <sheetView tabSelected="1" topLeftCell="A2" workbookViewId="0">
      <selection activeCell="K15" sqref="K15"/>
    </sheetView>
  </sheetViews>
  <sheetFormatPr defaultRowHeight="15"/>
  <cols>
    <col min="1" max="1" width="14.85546875" bestFit="1" customWidth="1"/>
    <col min="2" max="2" width="12.140625" bestFit="1" customWidth="1"/>
    <col min="6" max="6" width="11.42578125" bestFit="1" customWidth="1"/>
    <col min="7" max="7" width="12.5703125" bestFit="1" customWidth="1"/>
    <col min="11" max="11" width="11.42578125" bestFit="1" customWidth="1"/>
    <col min="12" max="12" width="12.140625" bestFit="1" customWidth="1"/>
  </cols>
  <sheetData>
    <row r="3" spans="1:12">
      <c r="A3" s="4" t="s">
        <v>1</v>
      </c>
      <c r="B3" t="s">
        <v>65</v>
      </c>
      <c r="F3" s="4" t="s">
        <v>2</v>
      </c>
      <c r="G3" t="s">
        <v>66</v>
      </c>
      <c r="K3" s="4" t="s">
        <v>3</v>
      </c>
      <c r="L3" t="s">
        <v>65</v>
      </c>
    </row>
    <row r="4" spans="1:12">
      <c r="B4" s="5"/>
      <c r="G4" s="5"/>
      <c r="L4" s="5"/>
    </row>
    <row r="5" spans="1:12">
      <c r="A5" t="s">
        <v>67</v>
      </c>
      <c r="B5" s="5">
        <v>241000</v>
      </c>
      <c r="F5" t="s">
        <v>26</v>
      </c>
      <c r="G5" s="5">
        <v>280000</v>
      </c>
      <c r="K5" t="s">
        <v>30</v>
      </c>
      <c r="L5" s="5">
        <v>241000</v>
      </c>
    </row>
    <row r="6" spans="1:12">
      <c r="A6" t="s">
        <v>21</v>
      </c>
      <c r="B6" s="5">
        <v>0</v>
      </c>
      <c r="F6" t="s">
        <v>40</v>
      </c>
      <c r="G6" s="5">
        <v>0</v>
      </c>
      <c r="K6" t="s">
        <v>47</v>
      </c>
      <c r="L6" s="5">
        <v>430000</v>
      </c>
    </row>
    <row r="7" spans="1:12">
      <c r="A7" t="s">
        <v>25</v>
      </c>
      <c r="B7" s="5">
        <v>753000</v>
      </c>
      <c r="F7" t="s">
        <v>14</v>
      </c>
      <c r="G7" s="5">
        <v>114000</v>
      </c>
      <c r="K7" t="s">
        <v>36</v>
      </c>
      <c r="L7" s="5">
        <v>452000</v>
      </c>
    </row>
    <row r="8" spans="1:12">
      <c r="A8" t="s">
        <v>68</v>
      </c>
      <c r="B8" s="5">
        <v>452000</v>
      </c>
      <c r="F8" t="s">
        <v>44</v>
      </c>
      <c r="G8" s="5">
        <v>42000</v>
      </c>
      <c r="K8" t="s">
        <v>38</v>
      </c>
      <c r="L8" s="5">
        <v>968000</v>
      </c>
    </row>
    <row r="9" spans="1:12">
      <c r="A9" t="s">
        <v>69</v>
      </c>
      <c r="B9" s="5">
        <v>645000</v>
      </c>
      <c r="F9" t="s">
        <v>35</v>
      </c>
      <c r="G9" s="5">
        <v>85000</v>
      </c>
      <c r="K9" t="s">
        <v>23</v>
      </c>
      <c r="L9" s="5">
        <v>0</v>
      </c>
    </row>
    <row r="10" spans="1:12">
      <c r="A10" t="s">
        <v>70</v>
      </c>
      <c r="B10" s="5"/>
      <c r="F10" t="s">
        <v>70</v>
      </c>
      <c r="G10" s="5"/>
      <c r="K10" t="s">
        <v>71</v>
      </c>
      <c r="L10" s="5">
        <v>2091000</v>
      </c>
    </row>
    <row r="11" spans="1:12">
      <c r="A11" t="s">
        <v>71</v>
      </c>
      <c r="B11" s="5">
        <v>2091000</v>
      </c>
      <c r="F11" t="s">
        <v>71</v>
      </c>
      <c r="G11" s="5">
        <v>521000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2026-04-21T20:38:55Z</dcterms:created>
  <dcterms:modified xsi:type="dcterms:W3CDTF">2026-04-21T23:03:43Z</dcterms:modified>
  <cp:category/>
  <cp:contentStatus/>
</cp:coreProperties>
</file>