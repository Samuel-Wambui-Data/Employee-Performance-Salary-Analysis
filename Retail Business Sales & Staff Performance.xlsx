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hidePivotFieldList="1" defaultThemeVersion="166925"/>
  <xr:revisionPtr revIDLastSave="0" documentId="8_{F3494437-E396-4F87-A964-BDFEA3139754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Raw_Data" sheetId="1" r:id="rId1"/>
    <sheet name="Clean_Data_Analysis" sheetId="2" r:id="rId2"/>
    <sheet name="Business_Insights" sheetId="3" r:id="rId3"/>
    <sheet name="Dashboard_View" sheetId="4" r:id="rId4"/>
  </sheets>
  <calcPr calcId="191028"/>
  <pivotCaches>
    <pivotCache cacheId="67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C3" i="4"/>
  <c r="A3" i="4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L2" i="2"/>
  <c r="K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I2" i="2"/>
  <c r="H2" i="2"/>
  <c r="G2" i="2"/>
  <c r="F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2" i="2"/>
</calcChain>
</file>

<file path=xl/sharedStrings.xml><?xml version="1.0" encoding="utf-8"?>
<sst xmlns="http://schemas.openxmlformats.org/spreadsheetml/2006/main" count="271" uniqueCount="106">
  <si>
    <t>Employee Name</t>
  </si>
  <si>
    <t>Department</t>
  </si>
  <si>
    <t>Product</t>
  </si>
  <si>
    <t>Region</t>
  </si>
  <si>
    <t>Hours Worked</t>
  </si>
  <si>
    <t>Overtime Hours</t>
  </si>
  <si>
    <t>Hourly Rate</t>
  </si>
  <si>
    <t>Sales</t>
  </si>
  <si>
    <t>Profit</t>
  </si>
  <si>
    <t>john kamau</t>
  </si>
  <si>
    <t>laptop</t>
  </si>
  <si>
    <t>nairobi</t>
  </si>
  <si>
    <t>mary wanjiku</t>
  </si>
  <si>
    <t xml:space="preserve"> sales</t>
  </si>
  <si>
    <t>Phone</t>
  </si>
  <si>
    <t xml:space="preserve">Nairobi </t>
  </si>
  <si>
    <t>peter otieno</t>
  </si>
  <si>
    <t>Marketing</t>
  </si>
  <si>
    <t>tablet</t>
  </si>
  <si>
    <t>MOMBASA</t>
  </si>
  <si>
    <t>ann njeri</t>
  </si>
  <si>
    <t>HR</t>
  </si>
  <si>
    <t>none</t>
  </si>
  <si>
    <t>Nakuru</t>
  </si>
  <si>
    <t>james mwangi</t>
  </si>
  <si>
    <t>IT</t>
  </si>
  <si>
    <t>Laptop</t>
  </si>
  <si>
    <t>linda cherono</t>
  </si>
  <si>
    <t>finance</t>
  </si>
  <si>
    <t>printer</t>
  </si>
  <si>
    <t>Eldoret</t>
  </si>
  <si>
    <t>kevin kiptoo</t>
  </si>
  <si>
    <t>PHONE</t>
  </si>
  <si>
    <t xml:space="preserve"> Kisumu</t>
  </si>
  <si>
    <t>susan achieng</t>
  </si>
  <si>
    <t>Tablet</t>
  </si>
  <si>
    <t>Mombasa</t>
  </si>
  <si>
    <t>brian mutiso</t>
  </si>
  <si>
    <t>Nairobi</t>
  </si>
  <si>
    <t>grace wairimu</t>
  </si>
  <si>
    <t>None</t>
  </si>
  <si>
    <t xml:space="preserve">Nakuru </t>
  </si>
  <si>
    <t>daniel kirui</t>
  </si>
  <si>
    <t>Finance</t>
  </si>
  <si>
    <t>Printer</t>
  </si>
  <si>
    <t>mercy atieno</t>
  </si>
  <si>
    <t>phone</t>
  </si>
  <si>
    <t>Kisumu</t>
  </si>
  <si>
    <t>steve otieno</t>
  </si>
  <si>
    <t>carol njeri</t>
  </si>
  <si>
    <t>paul mwangi</t>
  </si>
  <si>
    <t>LAPTOP</t>
  </si>
  <si>
    <t>esther wanjiru</t>
  </si>
  <si>
    <t>alex kiptoo</t>
  </si>
  <si>
    <t>ruth chebet</t>
  </si>
  <si>
    <t>george mutua</t>
  </si>
  <si>
    <t>lucy wanjiku</t>
  </si>
  <si>
    <t>samuel kiptoo</t>
  </si>
  <si>
    <t>ivy atieno</t>
  </si>
  <si>
    <t>mark otieno</t>
  </si>
  <si>
    <t>nancy njeri</t>
  </si>
  <si>
    <t>eric mwangi</t>
  </si>
  <si>
    <t>david mutua</t>
  </si>
  <si>
    <t>faith chebet</t>
  </si>
  <si>
    <t>kennedy otieno</t>
  </si>
  <si>
    <t>janet wanjiru</t>
  </si>
  <si>
    <t>benson kiptoo</t>
  </si>
  <si>
    <t>naomi achieng</t>
  </si>
  <si>
    <t>victor mwangi</t>
  </si>
  <si>
    <t>cynthia njeri</t>
  </si>
  <si>
    <t>isaac kirui</t>
  </si>
  <si>
    <t>lilian atieno</t>
  </si>
  <si>
    <t>oscar mutiso</t>
  </si>
  <si>
    <t>henry mwangi</t>
  </si>
  <si>
    <t>diana chebet</t>
  </si>
  <si>
    <t>martin kiptoo</t>
  </si>
  <si>
    <t>brenda wanjiru</t>
  </si>
  <si>
    <t>charles mutua</t>
  </si>
  <si>
    <t>edith njeri</t>
  </si>
  <si>
    <t>kelvin kirui</t>
  </si>
  <si>
    <t>purity atieno</t>
  </si>
  <si>
    <t>dan mwangi</t>
  </si>
  <si>
    <t>samson mutiso</t>
  </si>
  <si>
    <t>rachel chebet</t>
  </si>
  <si>
    <t>allan kiptoo</t>
  </si>
  <si>
    <t>ivy wanjiru</t>
  </si>
  <si>
    <t>brian mwangi</t>
  </si>
  <si>
    <t>joyce njeri</t>
  </si>
  <si>
    <t>moses kirui</t>
  </si>
  <si>
    <t>luke atieno</t>
  </si>
  <si>
    <t>frank mutiso</t>
  </si>
  <si>
    <t>daniel mwangi</t>
  </si>
  <si>
    <t>Total Wage</t>
  </si>
  <si>
    <t>Overtime Pay</t>
  </si>
  <si>
    <t>Performance Category</t>
  </si>
  <si>
    <t>Sum of Sales</t>
  </si>
  <si>
    <t>Sum of Profit</t>
  </si>
  <si>
    <t>SALES</t>
  </si>
  <si>
    <t>MARKETING</t>
  </si>
  <si>
    <t>FINANCE</t>
  </si>
  <si>
    <t>Grand Total</t>
  </si>
  <si>
    <t xml:space="preserve">    Sales Dashboard Overview</t>
  </si>
  <si>
    <t>Total Sales</t>
  </si>
  <si>
    <t>Total Profit</t>
  </si>
  <si>
    <t>Total Employees</t>
  </si>
  <si>
    <t>Best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</si>
</sst>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textRotation="45" wrapText="1"/>
    </xf>
    <xf numFmtId="0" fontId="0" fillId="0" borderId="0" xfId="0" applyAlignment="1">
      <alignment textRotation="45"/>
    </xf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Business Sales &amp; Staff Performance.xlsx]Business_Insights!PivotTable2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Business_Insights!$B$3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Business_Insights!$A$4:$A$9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HR</c:v>
                </c:pt>
                <c:pt idx="4">
                  <c:v>FINANCE</c:v>
                </c:pt>
              </c:strCache>
            </c:strRef>
          </c:cat>
          <c:val>
            <c:numRef>
              <c:f>Business_Insights!$B$4:$B$9</c:f>
              <c:numCache>
                <c:formatCode>General</c:formatCode>
                <c:ptCount val="5"/>
                <c:pt idx="0">
                  <c:v>1435000</c:v>
                </c:pt>
                <c:pt idx="1">
                  <c:v>1099000</c:v>
                </c:pt>
                <c:pt idx="2">
                  <c:v>1826000</c:v>
                </c:pt>
                <c:pt idx="3">
                  <c:v>0</c:v>
                </c:pt>
                <c:pt idx="4">
                  <c:v>613000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E-4327-B177-CD7F5C6F4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8037384"/>
        <c:axId val="2128039432"/>
      </c:barChart>
      <c:catAx>
        <c:axId val="2128037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39432"/>
        <c:crosses val="autoZero"/>
        <c:auto val="1"/>
        <c:lblAlgn val="ctr"/>
        <c:lblOffset val="100"/>
        <c:noMultiLvlLbl val="0"/>
      </c:catAx>
      <c:valAx>
        <c:axId val="2128039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3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Business Sales &amp; Staff Performance.xlsx]Business_Insights!PivotTable5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Business_Insights!$J$3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8C-49F7-B74F-6B72E132F3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8C-49F7-B74F-6B72E132F3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8C-49F7-B74F-6B72E132F3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8C-49F7-B74F-6B72E132F3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8C-49F7-B74F-6B72E132F3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B8C-49F7-B74F-6B72E132F342}"/>
              </c:ext>
            </c:extLst>
          </c:dPt>
          <c:cat>
            <c:strRef>
              <c:f>Business_Insights!$I$4:$I$9</c:f>
              <c:strCache>
                <c:ptCount val="5"/>
                <c:pt idx="0">
                  <c:v>Eldoret</c:v>
                </c:pt>
                <c:pt idx="1">
                  <c:v>Kisumu</c:v>
                </c:pt>
                <c:pt idx="2">
                  <c:v>Mombasa</c:v>
                </c:pt>
                <c:pt idx="3">
                  <c:v>Nairobi</c:v>
                </c:pt>
                <c:pt idx="4">
                  <c:v>Nakuru</c:v>
                </c:pt>
              </c:strCache>
            </c:strRef>
          </c:cat>
          <c:val>
            <c:numRef>
              <c:f>Business_Insights!$J$4:$J$9</c:f>
              <c:numCache>
                <c:formatCode>General</c:formatCode>
                <c:ptCount val="5"/>
                <c:pt idx="0">
                  <c:v>613000</c:v>
                </c:pt>
                <c:pt idx="1">
                  <c:v>1095000</c:v>
                </c:pt>
                <c:pt idx="2">
                  <c:v>1099000</c:v>
                </c:pt>
                <c:pt idx="3">
                  <c:v>2166000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B8C-49F7-B74F-6B72E132F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7</xdr:col>
      <xdr:colOff>304800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4583FA-7E5E-4AF5-9697-7B3C0D7E7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</xdr:row>
      <xdr:rowOff>0</xdr:rowOff>
    </xdr:from>
    <xdr:to>
      <xdr:col>16</xdr:col>
      <xdr:colOff>342900</xdr:colOff>
      <xdr:row>17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918FE6-A17D-409E-A561-04FF26C03965}"/>
            </a:ext>
            <a:ext uri="{147F2762-F138-4A5C-976F-8EAC2B608ADB}">
              <a16:predDERef xmlns:a16="http://schemas.microsoft.com/office/drawing/2014/main" pred="{F64583FA-7E5E-4AF5-9697-7B3C0D7E7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4.969495486112" createdVersion="8" refreshedVersion="8" minRefreshableVersion="3" recordCount="60" xr:uid="{F71A2F26-1DA0-44D4-AAF5-9357580A1B6D}">
  <cacheSource type="worksheet">
    <worksheetSource ref="A1:L61" sheet="Clean_Data_Analysis"/>
  </cacheSource>
  <cacheFields count="12">
    <cacheField name="Employee Name" numFmtId="0">
      <sharedItems/>
    </cacheField>
    <cacheField name="Department" numFmtId="0">
      <sharedItems containsBlank="1" count="6">
        <s v="SALES"/>
        <s v="MARKETING"/>
        <s v="HR"/>
        <s v="IT"/>
        <s v="FINANCE"/>
        <m/>
      </sharedItems>
    </cacheField>
    <cacheField name="Product" numFmtId="0">
      <sharedItems containsBlank="1" count="6">
        <s v="Laptop"/>
        <s v="Phone"/>
        <s v="Tablet"/>
        <s v="None"/>
        <s v="Printer"/>
        <m/>
      </sharedItems>
    </cacheField>
    <cacheField name="Region" numFmtId="0">
      <sharedItems containsBlank="1" count="6">
        <s v="Nairobi"/>
        <s v="Mombasa"/>
        <s v="Nakuru"/>
        <s v="Eldoret"/>
        <s v="Kisumu"/>
        <m/>
      </sharedItems>
    </cacheField>
    <cacheField name="Hours Worked" numFmtId="0">
      <sharedItems containsString="0" containsBlank="1" containsNumber="1" containsInteger="1" minValue="35" maxValue="48"/>
    </cacheField>
    <cacheField name="Overtime Hours" numFmtId="0">
      <sharedItems containsString="0" containsBlank="1" containsNumber="1" containsInteger="1" minValue="0" maxValue="12"/>
    </cacheField>
    <cacheField name="Hourly Rate" numFmtId="0">
      <sharedItems containsString="0" containsBlank="1" containsNumber="1" containsInteger="1" minValue="350" maxValue="640"/>
    </cacheField>
    <cacheField name="Sales" numFmtId="0">
      <sharedItems containsString="0" containsBlank="1" containsNumber="1" containsInteger="1" minValue="0" maxValue="162000"/>
    </cacheField>
    <cacheField name="Profit" numFmtId="0">
      <sharedItems containsString="0" containsBlank="1" containsNumber="1" containsInteger="1" minValue="0" maxValue="56000"/>
    </cacheField>
    <cacheField name="Total Wage" numFmtId="0">
      <sharedItems containsString="0" containsBlank="1" containsNumber="1" containsInteger="1" minValue="12250" maxValue="30720"/>
    </cacheField>
    <cacheField name="Overtime Pay" numFmtId="0">
      <sharedItems containsString="0" containsBlank="1" containsNumber="1" minValue="0" maxValue="11520"/>
    </cacheField>
    <cacheField name="Performance 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John Kamau"/>
    <x v="0"/>
    <x v="0"/>
    <x v="0"/>
    <n v="40"/>
    <n v="5"/>
    <n v="500"/>
    <n v="120000"/>
    <n v="30000"/>
    <n v="20000"/>
    <n v="3750"/>
    <s v="Average"/>
  </r>
  <r>
    <s v="Mary Wanjiku"/>
    <x v="0"/>
    <x v="1"/>
    <x v="0"/>
    <n v="38"/>
    <n v="2"/>
    <n v="450"/>
    <n v="95000"/>
    <n v="20000"/>
    <n v="17100"/>
    <n v="1350"/>
    <s v="Average"/>
  </r>
  <r>
    <s v="Peter Otieno"/>
    <x v="1"/>
    <x v="2"/>
    <x v="1"/>
    <n v="42"/>
    <n v="6"/>
    <n v="400"/>
    <n v="87000"/>
    <n v="15000"/>
    <n v="16800"/>
    <n v="3600"/>
    <s v="Low"/>
  </r>
  <r>
    <s v="Ann Njeri"/>
    <x v="2"/>
    <x v="3"/>
    <x v="2"/>
    <n v="36"/>
    <n v="0"/>
    <n v="350"/>
    <n v="0"/>
    <n v="0"/>
    <n v="12600"/>
    <n v="0"/>
    <s v="Low"/>
  </r>
  <r>
    <s v="James Mwangi"/>
    <x v="3"/>
    <x v="0"/>
    <x v="0"/>
    <n v="45"/>
    <n v="10"/>
    <n v="600"/>
    <n v="150000"/>
    <n v="50000"/>
    <n v="27000"/>
    <n v="9000"/>
    <s v="Top Performer"/>
  </r>
  <r>
    <s v="Linda Cherono"/>
    <x v="4"/>
    <x v="4"/>
    <x v="3"/>
    <n v="40"/>
    <n v="4"/>
    <n v="550"/>
    <n v="60000"/>
    <n v="10000"/>
    <n v="22000"/>
    <n v="3300"/>
    <s v="Low"/>
  </r>
  <r>
    <s v="Kevin Kiptoo"/>
    <x v="0"/>
    <x v="1"/>
    <x v="4"/>
    <n v="39"/>
    <n v="3"/>
    <n v="500"/>
    <n v="110000"/>
    <n v="25000"/>
    <n v="19500"/>
    <n v="2250"/>
    <s v="Average"/>
  </r>
  <r>
    <s v="Susan Achieng"/>
    <x v="1"/>
    <x v="2"/>
    <x v="1"/>
    <n v="41"/>
    <n v="5"/>
    <n v="420"/>
    <n v="92000"/>
    <n v="18000"/>
    <n v="17220"/>
    <n v="3150"/>
    <s v="Average"/>
  </r>
  <r>
    <s v="Brian Mutiso"/>
    <x v="3"/>
    <x v="0"/>
    <x v="0"/>
    <n v="44"/>
    <n v="8"/>
    <n v="600"/>
    <n v="140000"/>
    <n v="45000"/>
    <n v="26400"/>
    <n v="7200"/>
    <s v="Top Performer"/>
  </r>
  <r>
    <s v="Grace Wairimu"/>
    <x v="2"/>
    <x v="3"/>
    <x v="2"/>
    <n v="37"/>
    <n v="1"/>
    <n v="360"/>
    <n v="0"/>
    <n v="0"/>
    <n v="13320"/>
    <n v="540"/>
    <s v="Low"/>
  </r>
  <r>
    <s v="Daniel Kirui"/>
    <x v="4"/>
    <x v="4"/>
    <x v="3"/>
    <n v="40"/>
    <n v="2"/>
    <n v="550"/>
    <n v="58000"/>
    <n v="9000"/>
    <n v="22000"/>
    <n v="1650"/>
    <s v="Low"/>
  </r>
  <r>
    <s v="Mercy Atieno"/>
    <x v="0"/>
    <x v="1"/>
    <x v="4"/>
    <n v="38"/>
    <n v="4"/>
    <n v="480"/>
    <n v="105000"/>
    <n v="22000"/>
    <n v="18240"/>
    <n v="2880"/>
    <s v="Average"/>
  </r>
  <r>
    <s v="Steve Otieno"/>
    <x v="1"/>
    <x v="2"/>
    <x v="1"/>
    <n v="43"/>
    <n v="6"/>
    <n v="410"/>
    <n v="89000"/>
    <n v="16000"/>
    <n v="17630"/>
    <n v="3690"/>
    <s v="Low"/>
  </r>
  <r>
    <s v="Carol Njeri"/>
    <x v="2"/>
    <x v="3"/>
    <x v="2"/>
    <n v="35"/>
    <n v="0"/>
    <n v="350"/>
    <n v="0"/>
    <n v="0"/>
    <n v="12250"/>
    <n v="0"/>
    <s v="Low"/>
  </r>
  <r>
    <s v="Paul Mwangi"/>
    <x v="3"/>
    <x v="0"/>
    <x v="0"/>
    <n v="46"/>
    <n v="9"/>
    <n v="620"/>
    <n v="155000"/>
    <n v="52000"/>
    <n v="28520"/>
    <n v="8370"/>
    <s v="Top Performer"/>
  </r>
  <r>
    <s v="Esther Wanjiru"/>
    <x v="4"/>
    <x v="4"/>
    <x v="3"/>
    <n v="39"/>
    <n v="3"/>
    <n v="540"/>
    <n v="61000"/>
    <n v="11000"/>
    <n v="21060"/>
    <n v="2430"/>
    <s v="Low"/>
  </r>
  <r>
    <s v="Alex Kiptoo"/>
    <x v="0"/>
    <x v="1"/>
    <x v="4"/>
    <n v="40"/>
    <n v="5"/>
    <n v="500"/>
    <n v="115000"/>
    <n v="26000"/>
    <n v="20000"/>
    <n v="3750"/>
    <s v="Average"/>
  </r>
  <r>
    <s v="Ruth Chebet"/>
    <x v="1"/>
    <x v="2"/>
    <x v="1"/>
    <n v="42"/>
    <n v="7"/>
    <n v="430"/>
    <n v="93000"/>
    <n v="19000"/>
    <n v="18060"/>
    <n v="4515"/>
    <s v="Average"/>
  </r>
  <r>
    <s v="George Mutua"/>
    <x v="3"/>
    <x v="0"/>
    <x v="0"/>
    <n v="45"/>
    <n v="10"/>
    <n v="610"/>
    <n v="148000"/>
    <n v="48000"/>
    <n v="27450"/>
    <n v="9150"/>
    <s v="Top Performer"/>
  </r>
  <r>
    <s v="Lucy Wanjiku"/>
    <x v="2"/>
    <x v="3"/>
    <x v="2"/>
    <n v="36"/>
    <n v="0"/>
    <n v="355"/>
    <n v="0"/>
    <n v="0"/>
    <n v="12780"/>
    <n v="0"/>
    <s v="Low"/>
  </r>
  <r>
    <s v="Samuel Kiptoo"/>
    <x v="4"/>
    <x v="4"/>
    <x v="3"/>
    <n v="41"/>
    <n v="4"/>
    <n v="560"/>
    <n v="62000"/>
    <n v="12000"/>
    <n v="22960"/>
    <n v="3360"/>
    <s v="Low"/>
  </r>
  <r>
    <s v="Ivy Atieno"/>
    <x v="0"/>
    <x v="1"/>
    <x v="4"/>
    <n v="37"/>
    <n v="2"/>
    <n v="470"/>
    <n v="100000"/>
    <n v="21000"/>
    <n v="17390"/>
    <n v="1410"/>
    <s v="Average"/>
  </r>
  <r>
    <s v="Mark Otieno"/>
    <x v="1"/>
    <x v="2"/>
    <x v="1"/>
    <n v="44"/>
    <n v="6"/>
    <n v="415"/>
    <n v="91000"/>
    <n v="17000"/>
    <n v="18260"/>
    <n v="3735"/>
    <s v="Average"/>
  </r>
  <r>
    <s v="Nancy Njeri"/>
    <x v="2"/>
    <x v="3"/>
    <x v="2"/>
    <n v="35"/>
    <n v="0"/>
    <n v="350"/>
    <n v="0"/>
    <n v="0"/>
    <n v="12250"/>
    <n v="0"/>
    <s v="Low"/>
  </r>
  <r>
    <s v="Eric Mwangi"/>
    <x v="3"/>
    <x v="0"/>
    <x v="0"/>
    <n v="47"/>
    <n v="11"/>
    <n v="630"/>
    <n v="160000"/>
    <n v="55000"/>
    <n v="29610"/>
    <n v="10395"/>
    <s v="Top Performer"/>
  </r>
  <r>
    <s v="David Mutua"/>
    <x v="0"/>
    <x v="0"/>
    <x v="0"/>
    <n v="41"/>
    <n v="4"/>
    <n v="510"/>
    <n v="125000"/>
    <n v="32000"/>
    <n v="20910"/>
    <n v="3060"/>
    <s v="Top Performer"/>
  </r>
  <r>
    <s v="Faith Chebet"/>
    <x v="1"/>
    <x v="1"/>
    <x v="1"/>
    <n v="39"/>
    <n v="3"/>
    <n v="430"/>
    <n v="88000"/>
    <n v="16000"/>
    <n v="16770"/>
    <n v="1935"/>
    <s v="Low"/>
  </r>
  <r>
    <s v="Kennedy Otieno"/>
    <x v="3"/>
    <x v="2"/>
    <x v="0"/>
    <n v="44"/>
    <n v="9"/>
    <n v="620"/>
    <n v="142000"/>
    <n v="46000"/>
    <n v="27280"/>
    <n v="8370"/>
    <s v="Top Performer"/>
  </r>
  <r>
    <s v="Janet Wanjiru"/>
    <x v="4"/>
    <x v="4"/>
    <x v="3"/>
    <n v="38"/>
    <n v="2"/>
    <n v="540"/>
    <n v="59000"/>
    <n v="10000"/>
    <n v="20520"/>
    <n v="1620"/>
    <s v="Low"/>
  </r>
  <r>
    <s v="Benson Kiptoo"/>
    <x v="0"/>
    <x v="1"/>
    <x v="4"/>
    <n v="40"/>
    <n v="6"/>
    <n v="500"/>
    <n v="118000"/>
    <n v="27000"/>
    <n v="20000"/>
    <n v="4500"/>
    <s v="Average"/>
  </r>
  <r>
    <s v="Naomi Achieng"/>
    <x v="1"/>
    <x v="2"/>
    <x v="1"/>
    <n v="43"/>
    <n v="5"/>
    <n v="420"/>
    <n v="94000"/>
    <n v="20000"/>
    <n v="18060"/>
    <n v="3150"/>
    <s v="Average"/>
  </r>
  <r>
    <s v="Victor Mwangi"/>
    <x v="3"/>
    <x v="0"/>
    <x v="0"/>
    <n v="46"/>
    <n v="10"/>
    <n v="610"/>
    <n v="152000"/>
    <n v="51000"/>
    <n v="28060"/>
    <n v="9150"/>
    <s v="Top Performer"/>
  </r>
  <r>
    <s v="Cynthia Njeri"/>
    <x v="2"/>
    <x v="3"/>
    <x v="2"/>
    <n v="37"/>
    <n v="0"/>
    <n v="360"/>
    <n v="0"/>
    <n v="0"/>
    <n v="13320"/>
    <n v="0"/>
    <s v="Low"/>
  </r>
  <r>
    <s v="Isaac Kirui"/>
    <x v="4"/>
    <x v="4"/>
    <x v="3"/>
    <n v="42"/>
    <n v="3"/>
    <n v="550"/>
    <n v="63000"/>
    <n v="13000"/>
    <n v="23100"/>
    <n v="2475"/>
    <s v="Low"/>
  </r>
  <r>
    <s v="Lilian Atieno"/>
    <x v="0"/>
    <x v="1"/>
    <x v="4"/>
    <n v="39"/>
    <n v="4"/>
    <n v="480"/>
    <n v="108000"/>
    <n v="23000"/>
    <n v="18720"/>
    <n v="2880"/>
    <s v="Average"/>
  </r>
  <r>
    <s v="Oscar Mutiso"/>
    <x v="1"/>
    <x v="2"/>
    <x v="1"/>
    <n v="45"/>
    <n v="6"/>
    <n v="415"/>
    <n v="90000"/>
    <n v="18000"/>
    <n v="18675"/>
    <n v="3735"/>
    <s v="Low"/>
  </r>
  <r>
    <s v="Henry Mwangi"/>
    <x v="3"/>
    <x v="0"/>
    <x v="0"/>
    <n v="48"/>
    <n v="12"/>
    <n v="640"/>
    <n v="162000"/>
    <n v="56000"/>
    <n v="30720"/>
    <n v="11520"/>
    <s v="Top Performer"/>
  </r>
  <r>
    <s v="Diana Chebet"/>
    <x v="4"/>
    <x v="4"/>
    <x v="3"/>
    <n v="40"/>
    <n v="2"/>
    <n v="545"/>
    <n v="60000"/>
    <n v="11000"/>
    <n v="21800"/>
    <n v="1635"/>
    <s v="Low"/>
  </r>
  <r>
    <s v="Martin Kiptoo"/>
    <x v="0"/>
    <x v="1"/>
    <x v="4"/>
    <n v="41"/>
    <n v="5"/>
    <n v="505"/>
    <n v="117000"/>
    <n v="26000"/>
    <n v="20705"/>
    <n v="3787.5"/>
    <s v="Average"/>
  </r>
  <r>
    <s v="Brenda Wanjiru"/>
    <x v="1"/>
    <x v="2"/>
    <x v="1"/>
    <n v="42"/>
    <n v="6"/>
    <n v="425"/>
    <n v="95000"/>
    <n v="21000"/>
    <n v="17850"/>
    <n v="3825"/>
    <s v="Average"/>
  </r>
  <r>
    <s v="Charles Mutua"/>
    <x v="3"/>
    <x v="0"/>
    <x v="0"/>
    <n v="47"/>
    <n v="11"/>
    <n v="630"/>
    <n v="158000"/>
    <n v="54000"/>
    <n v="29610"/>
    <n v="10395"/>
    <s v="Top Performer"/>
  </r>
  <r>
    <s v="Edith Njeri"/>
    <x v="2"/>
    <x v="3"/>
    <x v="2"/>
    <n v="36"/>
    <n v="0"/>
    <n v="350"/>
    <n v="0"/>
    <n v="0"/>
    <n v="12600"/>
    <n v="0"/>
    <s v="Low"/>
  </r>
  <r>
    <s v="Kelvin Kirui"/>
    <x v="4"/>
    <x v="4"/>
    <x v="3"/>
    <n v="41"/>
    <n v="3"/>
    <n v="555"/>
    <n v="64000"/>
    <n v="14000"/>
    <n v="22755"/>
    <n v="2497.5"/>
    <s v="Low"/>
  </r>
  <r>
    <s v="Purity Atieno"/>
    <x v="0"/>
    <x v="1"/>
    <x v="4"/>
    <n v="38"/>
    <n v="3"/>
    <n v="475"/>
    <n v="102000"/>
    <n v="22000"/>
    <n v="18050"/>
    <n v="2137.5"/>
    <s v="Average"/>
  </r>
  <r>
    <s v="Dan Mwangi"/>
    <x v="1"/>
    <x v="2"/>
    <x v="1"/>
    <n v="44"/>
    <n v="7"/>
    <n v="420"/>
    <n v="93000"/>
    <n v="19000"/>
    <n v="18480"/>
    <n v="4410"/>
    <s v="Average"/>
  </r>
  <r>
    <s v="Samson Mutiso"/>
    <x v="3"/>
    <x v="0"/>
    <x v="0"/>
    <n v="45"/>
    <n v="10"/>
    <n v="620"/>
    <n v="149000"/>
    <n v="49000"/>
    <n v="27900"/>
    <n v="9300"/>
    <s v="Top Performer"/>
  </r>
  <r>
    <s v="Rachel Chebet"/>
    <x v="4"/>
    <x v="4"/>
    <x v="3"/>
    <n v="39"/>
    <n v="2"/>
    <n v="540"/>
    <n v="61000"/>
    <n v="11500"/>
    <n v="21060"/>
    <n v="1620"/>
    <s v="Low"/>
  </r>
  <r>
    <s v="Allan Kiptoo"/>
    <x v="0"/>
    <x v="1"/>
    <x v="4"/>
    <n v="40"/>
    <n v="4"/>
    <n v="500"/>
    <n v="116000"/>
    <n v="25000"/>
    <n v="20000"/>
    <n v="3000"/>
    <s v="Average"/>
  </r>
  <r>
    <s v="Ivy Wanjiru"/>
    <x v="1"/>
    <x v="2"/>
    <x v="1"/>
    <n v="43"/>
    <n v="6"/>
    <n v="430"/>
    <n v="96000"/>
    <n v="22000"/>
    <n v="18490"/>
    <n v="3870"/>
    <s v="Average"/>
  </r>
  <r>
    <s v="Brian Mwangi"/>
    <x v="3"/>
    <x v="0"/>
    <x v="0"/>
    <n v="46"/>
    <n v="9"/>
    <n v="610"/>
    <n v="151000"/>
    <n v="50000"/>
    <n v="28060"/>
    <n v="8235"/>
    <s v="Top Performer"/>
  </r>
  <r>
    <s v="Joyce Njeri"/>
    <x v="2"/>
    <x v="3"/>
    <x v="2"/>
    <n v="35"/>
    <n v="0"/>
    <n v="350"/>
    <n v="0"/>
    <n v="0"/>
    <n v="12250"/>
    <n v="0"/>
    <s v="Low"/>
  </r>
  <r>
    <s v="Moses Kirui"/>
    <x v="4"/>
    <x v="4"/>
    <x v="3"/>
    <n v="42"/>
    <n v="3"/>
    <n v="560"/>
    <n v="65000"/>
    <n v="15000"/>
    <n v="23520"/>
    <n v="2520"/>
    <s v="Low"/>
  </r>
  <r>
    <s v="Luke Atieno"/>
    <x v="0"/>
    <x v="1"/>
    <x v="4"/>
    <n v="39"/>
    <n v="2"/>
    <n v="480"/>
    <n v="104000"/>
    <n v="21000"/>
    <n v="18720"/>
    <n v="1440"/>
    <s v="Average"/>
  </r>
  <r>
    <s v="Frank Mutiso"/>
    <x v="1"/>
    <x v="2"/>
    <x v="1"/>
    <n v="44"/>
    <n v="5"/>
    <n v="415"/>
    <n v="91000"/>
    <n v="17500"/>
    <n v="18260"/>
    <n v="3112.5"/>
    <s v="Average"/>
  </r>
  <r>
    <s v="Daniel Mwangi"/>
    <x v="3"/>
    <x v="0"/>
    <x v="0"/>
    <n v="47"/>
    <n v="10"/>
    <n v="630"/>
    <n v="159000"/>
    <n v="53000"/>
    <n v="29610"/>
    <n v="9450"/>
    <s v="Top Performer"/>
  </r>
  <r>
    <s v=""/>
    <x v="5"/>
    <x v="5"/>
    <x v="5"/>
    <m/>
    <m/>
    <m/>
    <m/>
    <m/>
    <m/>
    <m/>
    <m/>
  </r>
  <r>
    <s v=""/>
    <x v="5"/>
    <x v="5"/>
    <x v="5"/>
    <m/>
    <m/>
    <m/>
    <m/>
    <m/>
    <m/>
    <m/>
    <m/>
  </r>
  <r>
    <s v=""/>
    <x v="5"/>
    <x v="5"/>
    <x v="5"/>
    <m/>
    <m/>
    <m/>
    <m/>
    <m/>
    <m/>
    <m/>
    <m/>
  </r>
  <r>
    <s v=""/>
    <x v="5"/>
    <x v="5"/>
    <x v="5"/>
    <m/>
    <m/>
    <m/>
    <m/>
    <m/>
    <m/>
    <m/>
    <m/>
  </r>
  <r>
    <s v=""/>
    <x v="5"/>
    <x v="5"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59152-B344-4CC2-B0B5-18EF24E54F8D}" name="PivotTable5" cacheId="6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:J9" firstHeaderRow="1" firstDataRow="1" firstDataCol="1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4"/>
        <item x="1"/>
        <item x="0"/>
        <item x="2"/>
        <item h="1"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2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F2B6E-91DB-42EF-9A04-BF8C975E0E71}" name="PivotTable3" cacheId="6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9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7">
        <item x="0"/>
        <item x="3"/>
        <item x="1"/>
        <item x="4"/>
        <item x="2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1EF8D-FE7F-403E-9B4B-8EB13856CB0E}" name="PivotTable2" cacheId="6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2">
    <pivotField compact="0" outline="0" showAll="0"/>
    <pivotField axis="axisRow" compact="0" outline="0" showAll="0" sortType="descending">
      <items count="7">
        <item h="1" x="5"/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workbookViewId="0">
      <selection activeCell="F2" sqref="F2"/>
    </sheetView>
  </sheetViews>
  <sheetFormatPr defaultRowHeight="15"/>
  <cols>
    <col min="1" max="1" width="36.57031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7</v>
      </c>
      <c r="C2" t="s">
        <v>10</v>
      </c>
      <c r="D2" t="s">
        <v>11</v>
      </c>
      <c r="E2">
        <v>40</v>
      </c>
      <c r="F2">
        <v>5</v>
      </c>
      <c r="G2">
        <v>500</v>
      </c>
      <c r="H2">
        <v>120000</v>
      </c>
      <c r="I2">
        <v>30000</v>
      </c>
    </row>
    <row r="3" spans="1:9">
      <c r="A3" s="1" t="s">
        <v>12</v>
      </c>
      <c r="B3" t="s">
        <v>13</v>
      </c>
      <c r="C3" t="s">
        <v>14</v>
      </c>
      <c r="D3" t="s">
        <v>15</v>
      </c>
      <c r="E3">
        <v>38</v>
      </c>
      <c r="F3">
        <v>2</v>
      </c>
      <c r="G3">
        <v>450</v>
      </c>
      <c r="H3">
        <v>95000</v>
      </c>
      <c r="I3">
        <v>20000</v>
      </c>
    </row>
    <row r="4" spans="1:9">
      <c r="A4" s="1" t="s">
        <v>16</v>
      </c>
      <c r="B4" t="s">
        <v>17</v>
      </c>
      <c r="C4" t="s">
        <v>18</v>
      </c>
      <c r="D4" t="s">
        <v>19</v>
      </c>
      <c r="E4">
        <v>42</v>
      </c>
      <c r="F4">
        <v>6</v>
      </c>
      <c r="G4">
        <v>400</v>
      </c>
      <c r="H4">
        <v>87000</v>
      </c>
      <c r="I4">
        <v>15000</v>
      </c>
    </row>
    <row r="5" spans="1:9">
      <c r="A5" s="1" t="s">
        <v>20</v>
      </c>
      <c r="B5" t="s">
        <v>21</v>
      </c>
      <c r="C5" t="s">
        <v>22</v>
      </c>
      <c r="D5" t="s">
        <v>23</v>
      </c>
      <c r="E5">
        <v>36</v>
      </c>
      <c r="F5">
        <v>0</v>
      </c>
      <c r="G5">
        <v>350</v>
      </c>
      <c r="H5">
        <v>0</v>
      </c>
      <c r="I5">
        <v>0</v>
      </c>
    </row>
    <row r="6" spans="1:9">
      <c r="A6" s="1" t="s">
        <v>24</v>
      </c>
      <c r="B6" t="s">
        <v>25</v>
      </c>
      <c r="C6" t="s">
        <v>26</v>
      </c>
      <c r="D6" t="s">
        <v>11</v>
      </c>
      <c r="E6">
        <v>45</v>
      </c>
      <c r="F6">
        <v>10</v>
      </c>
      <c r="G6">
        <v>600</v>
      </c>
      <c r="H6">
        <v>150000</v>
      </c>
      <c r="I6">
        <v>50000</v>
      </c>
    </row>
    <row r="7" spans="1:9">
      <c r="A7" s="1" t="s">
        <v>27</v>
      </c>
      <c r="B7" t="s">
        <v>28</v>
      </c>
      <c r="C7" t="s">
        <v>29</v>
      </c>
      <c r="D7" t="s">
        <v>30</v>
      </c>
      <c r="E7">
        <v>40</v>
      </c>
      <c r="F7">
        <v>4</v>
      </c>
      <c r="G7">
        <v>550</v>
      </c>
      <c r="H7">
        <v>60000</v>
      </c>
      <c r="I7">
        <v>10000</v>
      </c>
    </row>
    <row r="8" spans="1:9">
      <c r="A8" s="1" t="s">
        <v>31</v>
      </c>
      <c r="B8" t="s">
        <v>7</v>
      </c>
      <c r="C8" t="s">
        <v>32</v>
      </c>
      <c r="D8" t="s">
        <v>33</v>
      </c>
      <c r="E8">
        <v>39</v>
      </c>
      <c r="F8">
        <v>3</v>
      </c>
      <c r="G8">
        <v>500</v>
      </c>
      <c r="H8">
        <v>110000</v>
      </c>
      <c r="I8">
        <v>25000</v>
      </c>
    </row>
    <row r="9" spans="1:9">
      <c r="A9" s="1" t="s">
        <v>34</v>
      </c>
      <c r="B9" t="s">
        <v>17</v>
      </c>
      <c r="C9" t="s">
        <v>35</v>
      </c>
      <c r="D9" t="s">
        <v>36</v>
      </c>
      <c r="E9">
        <v>41</v>
      </c>
      <c r="F9">
        <v>5</v>
      </c>
      <c r="G9">
        <v>420</v>
      </c>
      <c r="H9">
        <v>92000</v>
      </c>
      <c r="I9">
        <v>18000</v>
      </c>
    </row>
    <row r="10" spans="1:9">
      <c r="A10" s="1" t="s">
        <v>37</v>
      </c>
      <c r="B10" t="s">
        <v>25</v>
      </c>
      <c r="C10" t="s">
        <v>10</v>
      </c>
      <c r="D10" t="s">
        <v>38</v>
      </c>
      <c r="E10">
        <v>44</v>
      </c>
      <c r="F10">
        <v>8</v>
      </c>
      <c r="G10">
        <v>600</v>
      </c>
      <c r="H10">
        <v>140000</v>
      </c>
      <c r="I10">
        <v>45000</v>
      </c>
    </row>
    <row r="11" spans="1:9">
      <c r="A11" s="1" t="s">
        <v>39</v>
      </c>
      <c r="B11" t="s">
        <v>21</v>
      </c>
      <c r="C11" t="s">
        <v>40</v>
      </c>
      <c r="D11" t="s">
        <v>41</v>
      </c>
      <c r="E11">
        <v>37</v>
      </c>
      <c r="F11">
        <v>1</v>
      </c>
      <c r="G11">
        <v>360</v>
      </c>
      <c r="H11">
        <v>0</v>
      </c>
      <c r="I11">
        <v>0</v>
      </c>
    </row>
    <row r="12" spans="1:9">
      <c r="A12" s="1" t="s">
        <v>42</v>
      </c>
      <c r="B12" t="s">
        <v>43</v>
      </c>
      <c r="C12" t="s">
        <v>44</v>
      </c>
      <c r="D12" t="s">
        <v>30</v>
      </c>
      <c r="E12">
        <v>40</v>
      </c>
      <c r="F12">
        <v>2</v>
      </c>
      <c r="G12">
        <v>550</v>
      </c>
      <c r="H12">
        <v>58000</v>
      </c>
      <c r="I12">
        <v>9000</v>
      </c>
    </row>
    <row r="13" spans="1:9">
      <c r="A13" s="1" t="s">
        <v>45</v>
      </c>
      <c r="B13" t="s">
        <v>7</v>
      </c>
      <c r="C13" t="s">
        <v>46</v>
      </c>
      <c r="D13" t="s">
        <v>47</v>
      </c>
      <c r="E13">
        <v>38</v>
      </c>
      <c r="F13">
        <v>4</v>
      </c>
      <c r="G13">
        <v>480</v>
      </c>
      <c r="H13">
        <v>105000</v>
      </c>
      <c r="I13">
        <v>22000</v>
      </c>
    </row>
    <row r="14" spans="1:9">
      <c r="A14" s="1" t="s">
        <v>48</v>
      </c>
      <c r="B14" t="s">
        <v>17</v>
      </c>
      <c r="C14" t="s">
        <v>18</v>
      </c>
      <c r="D14" t="s">
        <v>36</v>
      </c>
      <c r="E14">
        <v>43</v>
      </c>
      <c r="F14">
        <v>6</v>
      </c>
      <c r="G14">
        <v>410</v>
      </c>
      <c r="H14">
        <v>89000</v>
      </c>
      <c r="I14">
        <v>16000</v>
      </c>
    </row>
    <row r="15" spans="1:9">
      <c r="A15" s="1" t="s">
        <v>49</v>
      </c>
      <c r="B15" t="s">
        <v>21</v>
      </c>
      <c r="C15" t="s">
        <v>22</v>
      </c>
      <c r="D15" t="s">
        <v>23</v>
      </c>
      <c r="E15">
        <v>35</v>
      </c>
      <c r="F15">
        <v>0</v>
      </c>
      <c r="G15">
        <v>350</v>
      </c>
      <c r="H15">
        <v>0</v>
      </c>
      <c r="I15">
        <v>0</v>
      </c>
    </row>
    <row r="16" spans="1:9">
      <c r="A16" s="1" t="s">
        <v>50</v>
      </c>
      <c r="B16" t="s">
        <v>25</v>
      </c>
      <c r="C16" t="s">
        <v>51</v>
      </c>
      <c r="D16" t="s">
        <v>38</v>
      </c>
      <c r="E16">
        <v>46</v>
      </c>
      <c r="F16">
        <v>9</v>
      </c>
      <c r="G16">
        <v>620</v>
      </c>
      <c r="H16">
        <v>155000</v>
      </c>
      <c r="I16">
        <v>52000</v>
      </c>
    </row>
    <row r="17" spans="1:9">
      <c r="A17" s="1" t="s">
        <v>52</v>
      </c>
      <c r="B17" t="s">
        <v>43</v>
      </c>
      <c r="C17" t="s">
        <v>44</v>
      </c>
      <c r="D17" t="s">
        <v>30</v>
      </c>
      <c r="E17">
        <v>39</v>
      </c>
      <c r="F17">
        <v>3</v>
      </c>
      <c r="G17">
        <v>540</v>
      </c>
      <c r="H17">
        <v>61000</v>
      </c>
      <c r="I17">
        <v>11000</v>
      </c>
    </row>
    <row r="18" spans="1:9">
      <c r="A18" s="1" t="s">
        <v>53</v>
      </c>
      <c r="B18" t="s">
        <v>7</v>
      </c>
      <c r="C18" t="s">
        <v>46</v>
      </c>
      <c r="D18" t="s">
        <v>47</v>
      </c>
      <c r="E18">
        <v>40</v>
      </c>
      <c r="F18">
        <v>5</v>
      </c>
      <c r="G18">
        <v>500</v>
      </c>
      <c r="H18">
        <v>115000</v>
      </c>
      <c r="I18">
        <v>26000</v>
      </c>
    </row>
    <row r="19" spans="1:9">
      <c r="A19" s="1" t="s">
        <v>54</v>
      </c>
      <c r="B19" t="s">
        <v>17</v>
      </c>
      <c r="C19" t="s">
        <v>35</v>
      </c>
      <c r="D19" t="s">
        <v>36</v>
      </c>
      <c r="E19">
        <v>42</v>
      </c>
      <c r="F19">
        <v>7</v>
      </c>
      <c r="G19">
        <v>430</v>
      </c>
      <c r="H19">
        <v>93000</v>
      </c>
      <c r="I19">
        <v>19000</v>
      </c>
    </row>
    <row r="20" spans="1:9">
      <c r="A20" s="1" t="s">
        <v>55</v>
      </c>
      <c r="B20" t="s">
        <v>25</v>
      </c>
      <c r="C20" t="s">
        <v>10</v>
      </c>
      <c r="D20" t="s">
        <v>38</v>
      </c>
      <c r="E20">
        <v>45</v>
      </c>
      <c r="F20">
        <v>10</v>
      </c>
      <c r="G20">
        <v>610</v>
      </c>
      <c r="H20">
        <v>148000</v>
      </c>
      <c r="I20">
        <v>48000</v>
      </c>
    </row>
    <row r="21" spans="1:9">
      <c r="A21" s="1" t="s">
        <v>56</v>
      </c>
      <c r="B21" t="s">
        <v>21</v>
      </c>
      <c r="C21" t="s">
        <v>40</v>
      </c>
      <c r="D21" t="s">
        <v>23</v>
      </c>
      <c r="E21">
        <v>36</v>
      </c>
      <c r="F21">
        <v>0</v>
      </c>
      <c r="G21">
        <v>355</v>
      </c>
      <c r="H21">
        <v>0</v>
      </c>
      <c r="I21">
        <v>0</v>
      </c>
    </row>
    <row r="22" spans="1:9">
      <c r="A22" s="1" t="s">
        <v>57</v>
      </c>
      <c r="B22" t="s">
        <v>43</v>
      </c>
      <c r="C22" t="s">
        <v>29</v>
      </c>
      <c r="D22" t="s">
        <v>30</v>
      </c>
      <c r="E22">
        <v>41</v>
      </c>
      <c r="F22">
        <v>4</v>
      </c>
      <c r="G22">
        <v>560</v>
      </c>
      <c r="H22">
        <v>62000</v>
      </c>
      <c r="I22">
        <v>12000</v>
      </c>
    </row>
    <row r="23" spans="1:9">
      <c r="A23" s="1" t="s">
        <v>58</v>
      </c>
      <c r="B23" t="s">
        <v>7</v>
      </c>
      <c r="C23" t="s">
        <v>14</v>
      </c>
      <c r="D23" t="s">
        <v>47</v>
      </c>
      <c r="E23">
        <v>37</v>
      </c>
      <c r="F23">
        <v>2</v>
      </c>
      <c r="G23">
        <v>470</v>
      </c>
      <c r="H23">
        <v>100000</v>
      </c>
      <c r="I23">
        <v>21000</v>
      </c>
    </row>
    <row r="24" spans="1:9">
      <c r="A24" s="1" t="s">
        <v>59</v>
      </c>
      <c r="B24" t="s">
        <v>17</v>
      </c>
      <c r="C24" t="s">
        <v>18</v>
      </c>
      <c r="D24" t="s">
        <v>36</v>
      </c>
      <c r="E24">
        <v>44</v>
      </c>
      <c r="F24">
        <v>6</v>
      </c>
      <c r="G24">
        <v>415</v>
      </c>
      <c r="H24">
        <v>91000</v>
      </c>
      <c r="I24">
        <v>17000</v>
      </c>
    </row>
    <row r="25" spans="1:9">
      <c r="A25" s="1" t="s">
        <v>60</v>
      </c>
      <c r="B25" t="s">
        <v>21</v>
      </c>
      <c r="C25" t="s">
        <v>22</v>
      </c>
      <c r="D25" t="s">
        <v>23</v>
      </c>
      <c r="E25">
        <v>35</v>
      </c>
      <c r="F25">
        <v>0</v>
      </c>
      <c r="G25">
        <v>350</v>
      </c>
      <c r="H25">
        <v>0</v>
      </c>
      <c r="I25">
        <v>0</v>
      </c>
    </row>
    <row r="26" spans="1:9">
      <c r="A26" s="1" t="s">
        <v>61</v>
      </c>
      <c r="B26" t="s">
        <v>25</v>
      </c>
      <c r="C26" t="s">
        <v>10</v>
      </c>
      <c r="D26" t="s">
        <v>38</v>
      </c>
      <c r="E26">
        <v>47</v>
      </c>
      <c r="F26">
        <v>11</v>
      </c>
      <c r="G26">
        <v>630</v>
      </c>
      <c r="H26">
        <v>160000</v>
      </c>
      <c r="I26">
        <v>55000</v>
      </c>
    </row>
    <row r="27" spans="1:9">
      <c r="A27" s="1" t="s">
        <v>62</v>
      </c>
      <c r="B27" t="s">
        <v>7</v>
      </c>
      <c r="C27" t="s">
        <v>10</v>
      </c>
      <c r="D27" t="s">
        <v>38</v>
      </c>
      <c r="E27">
        <v>41</v>
      </c>
      <c r="F27">
        <v>4</v>
      </c>
      <c r="G27">
        <v>510</v>
      </c>
      <c r="H27">
        <v>125000</v>
      </c>
      <c r="I27">
        <v>32000</v>
      </c>
    </row>
    <row r="28" spans="1:9">
      <c r="A28" s="1" t="s">
        <v>63</v>
      </c>
      <c r="B28" t="s">
        <v>17</v>
      </c>
      <c r="C28" t="s">
        <v>14</v>
      </c>
      <c r="D28" t="s">
        <v>36</v>
      </c>
      <c r="E28">
        <v>39</v>
      </c>
      <c r="F28">
        <v>3</v>
      </c>
      <c r="G28">
        <v>430</v>
      </c>
      <c r="H28">
        <v>88000</v>
      </c>
      <c r="I28">
        <v>16000</v>
      </c>
    </row>
    <row r="29" spans="1:9">
      <c r="A29" s="1" t="s">
        <v>64</v>
      </c>
      <c r="B29" t="s">
        <v>25</v>
      </c>
      <c r="C29" t="s">
        <v>18</v>
      </c>
      <c r="D29" t="s">
        <v>38</v>
      </c>
      <c r="E29">
        <v>44</v>
      </c>
      <c r="F29">
        <v>9</v>
      </c>
      <c r="G29">
        <v>620</v>
      </c>
      <c r="H29">
        <v>142000</v>
      </c>
      <c r="I29">
        <v>46000</v>
      </c>
    </row>
    <row r="30" spans="1:9">
      <c r="A30" s="1" t="s">
        <v>65</v>
      </c>
      <c r="B30" t="s">
        <v>43</v>
      </c>
      <c r="C30" t="s">
        <v>44</v>
      </c>
      <c r="D30" t="s">
        <v>30</v>
      </c>
      <c r="E30">
        <v>38</v>
      </c>
      <c r="F30">
        <v>2</v>
      </c>
      <c r="G30">
        <v>540</v>
      </c>
      <c r="H30">
        <v>59000</v>
      </c>
      <c r="I30">
        <v>10000</v>
      </c>
    </row>
    <row r="31" spans="1:9">
      <c r="A31" s="1" t="s">
        <v>66</v>
      </c>
      <c r="B31" t="s">
        <v>7</v>
      </c>
      <c r="C31" t="s">
        <v>46</v>
      </c>
      <c r="D31" t="s">
        <v>47</v>
      </c>
      <c r="E31">
        <v>40</v>
      </c>
      <c r="F31">
        <v>6</v>
      </c>
      <c r="G31">
        <v>500</v>
      </c>
      <c r="H31">
        <v>118000</v>
      </c>
      <c r="I31">
        <v>27000</v>
      </c>
    </row>
    <row r="32" spans="1:9">
      <c r="A32" s="1" t="s">
        <v>67</v>
      </c>
      <c r="B32" t="s">
        <v>17</v>
      </c>
      <c r="C32" t="s">
        <v>35</v>
      </c>
      <c r="D32" t="s">
        <v>36</v>
      </c>
      <c r="E32">
        <v>43</v>
      </c>
      <c r="F32">
        <v>5</v>
      </c>
      <c r="G32">
        <v>420</v>
      </c>
      <c r="H32">
        <v>94000</v>
      </c>
      <c r="I32">
        <v>20000</v>
      </c>
    </row>
    <row r="33" spans="1:9">
      <c r="A33" s="1" t="s">
        <v>68</v>
      </c>
      <c r="B33" t="s">
        <v>25</v>
      </c>
      <c r="C33" t="s">
        <v>26</v>
      </c>
      <c r="D33" t="s">
        <v>38</v>
      </c>
      <c r="E33">
        <v>46</v>
      </c>
      <c r="F33">
        <v>10</v>
      </c>
      <c r="G33">
        <v>610</v>
      </c>
      <c r="H33">
        <v>152000</v>
      </c>
      <c r="I33">
        <v>51000</v>
      </c>
    </row>
    <row r="34" spans="1:9">
      <c r="A34" s="1" t="s">
        <v>69</v>
      </c>
      <c r="B34" t="s">
        <v>21</v>
      </c>
      <c r="C34" t="s">
        <v>40</v>
      </c>
      <c r="D34" t="s">
        <v>23</v>
      </c>
      <c r="E34">
        <v>37</v>
      </c>
      <c r="F34">
        <v>0</v>
      </c>
      <c r="G34">
        <v>360</v>
      </c>
      <c r="H34">
        <v>0</v>
      </c>
      <c r="I34">
        <v>0</v>
      </c>
    </row>
    <row r="35" spans="1:9">
      <c r="A35" s="1" t="s">
        <v>70</v>
      </c>
      <c r="B35" t="s">
        <v>43</v>
      </c>
      <c r="C35" t="s">
        <v>29</v>
      </c>
      <c r="D35" t="s">
        <v>30</v>
      </c>
      <c r="E35">
        <v>42</v>
      </c>
      <c r="F35">
        <v>3</v>
      </c>
      <c r="G35">
        <v>550</v>
      </c>
      <c r="H35">
        <v>63000</v>
      </c>
      <c r="I35">
        <v>13000</v>
      </c>
    </row>
    <row r="36" spans="1:9">
      <c r="A36" s="1" t="s">
        <v>71</v>
      </c>
      <c r="B36" t="s">
        <v>7</v>
      </c>
      <c r="C36" t="s">
        <v>14</v>
      </c>
      <c r="D36" t="s">
        <v>47</v>
      </c>
      <c r="E36">
        <v>39</v>
      </c>
      <c r="F36">
        <v>4</v>
      </c>
      <c r="G36">
        <v>480</v>
      </c>
      <c r="H36">
        <v>108000</v>
      </c>
      <c r="I36">
        <v>23000</v>
      </c>
    </row>
    <row r="37" spans="1:9">
      <c r="A37" s="1" t="s">
        <v>72</v>
      </c>
      <c r="B37" t="s">
        <v>17</v>
      </c>
      <c r="C37" t="s">
        <v>18</v>
      </c>
      <c r="D37" t="s">
        <v>36</v>
      </c>
      <c r="E37">
        <v>45</v>
      </c>
      <c r="F37">
        <v>6</v>
      </c>
      <c r="G37">
        <v>415</v>
      </c>
      <c r="H37">
        <v>90000</v>
      </c>
      <c r="I37">
        <v>18000</v>
      </c>
    </row>
    <row r="38" spans="1:9">
      <c r="A38" s="1" t="s">
        <v>73</v>
      </c>
      <c r="B38" t="s">
        <v>25</v>
      </c>
      <c r="C38" t="s">
        <v>10</v>
      </c>
      <c r="D38" t="s">
        <v>38</v>
      </c>
      <c r="E38">
        <v>48</v>
      </c>
      <c r="F38">
        <v>12</v>
      </c>
      <c r="G38">
        <v>640</v>
      </c>
      <c r="H38">
        <v>162000</v>
      </c>
      <c r="I38">
        <v>56000</v>
      </c>
    </row>
    <row r="39" spans="1:9">
      <c r="A39" s="1" t="s">
        <v>74</v>
      </c>
      <c r="B39" t="s">
        <v>43</v>
      </c>
      <c r="C39" t="s">
        <v>44</v>
      </c>
      <c r="D39" t="s">
        <v>30</v>
      </c>
      <c r="E39">
        <v>40</v>
      </c>
      <c r="F39">
        <v>2</v>
      </c>
      <c r="G39">
        <v>545</v>
      </c>
      <c r="H39">
        <v>60000</v>
      </c>
      <c r="I39">
        <v>11000</v>
      </c>
    </row>
    <row r="40" spans="1:9">
      <c r="A40" s="1" t="s">
        <v>75</v>
      </c>
      <c r="B40" t="s">
        <v>7</v>
      </c>
      <c r="C40" t="s">
        <v>46</v>
      </c>
      <c r="D40" t="s">
        <v>47</v>
      </c>
      <c r="E40">
        <v>41</v>
      </c>
      <c r="F40">
        <v>5</v>
      </c>
      <c r="G40">
        <v>505</v>
      </c>
      <c r="H40">
        <v>117000</v>
      </c>
      <c r="I40">
        <v>26000</v>
      </c>
    </row>
    <row r="41" spans="1:9">
      <c r="A41" s="1" t="s">
        <v>76</v>
      </c>
      <c r="B41" t="s">
        <v>17</v>
      </c>
      <c r="C41" t="s">
        <v>35</v>
      </c>
      <c r="D41" t="s">
        <v>36</v>
      </c>
      <c r="E41">
        <v>42</v>
      </c>
      <c r="F41">
        <v>6</v>
      </c>
      <c r="G41">
        <v>425</v>
      </c>
      <c r="H41">
        <v>95000</v>
      </c>
      <c r="I41">
        <v>21000</v>
      </c>
    </row>
    <row r="42" spans="1:9">
      <c r="A42" s="1" t="s">
        <v>77</v>
      </c>
      <c r="B42" t="s">
        <v>25</v>
      </c>
      <c r="C42" t="s">
        <v>51</v>
      </c>
      <c r="D42" t="s">
        <v>38</v>
      </c>
      <c r="E42">
        <v>47</v>
      </c>
      <c r="F42">
        <v>11</v>
      </c>
      <c r="G42">
        <v>630</v>
      </c>
      <c r="H42">
        <v>158000</v>
      </c>
      <c r="I42">
        <v>54000</v>
      </c>
    </row>
    <row r="43" spans="1:9">
      <c r="A43" s="1" t="s">
        <v>78</v>
      </c>
      <c r="B43" t="s">
        <v>21</v>
      </c>
      <c r="C43" t="s">
        <v>22</v>
      </c>
      <c r="D43" t="s">
        <v>23</v>
      </c>
      <c r="E43">
        <v>36</v>
      </c>
      <c r="F43">
        <v>0</v>
      </c>
      <c r="G43">
        <v>350</v>
      </c>
      <c r="H43">
        <v>0</v>
      </c>
      <c r="I43">
        <v>0</v>
      </c>
    </row>
    <row r="44" spans="1:9">
      <c r="A44" s="1" t="s">
        <v>79</v>
      </c>
      <c r="B44" t="s">
        <v>43</v>
      </c>
      <c r="C44" t="s">
        <v>29</v>
      </c>
      <c r="D44" t="s">
        <v>30</v>
      </c>
      <c r="E44">
        <v>41</v>
      </c>
      <c r="F44">
        <v>3</v>
      </c>
      <c r="G44">
        <v>555</v>
      </c>
      <c r="H44">
        <v>64000</v>
      </c>
      <c r="I44">
        <v>14000</v>
      </c>
    </row>
    <row r="45" spans="1:9">
      <c r="A45" s="1" t="s">
        <v>80</v>
      </c>
      <c r="B45" t="s">
        <v>7</v>
      </c>
      <c r="C45" t="s">
        <v>14</v>
      </c>
      <c r="D45" t="s">
        <v>47</v>
      </c>
      <c r="E45">
        <v>38</v>
      </c>
      <c r="F45">
        <v>3</v>
      </c>
      <c r="G45">
        <v>475</v>
      </c>
      <c r="H45">
        <v>102000</v>
      </c>
      <c r="I45">
        <v>22000</v>
      </c>
    </row>
    <row r="46" spans="1:9">
      <c r="A46" s="1" t="s">
        <v>81</v>
      </c>
      <c r="B46" t="s">
        <v>17</v>
      </c>
      <c r="C46" t="s">
        <v>18</v>
      </c>
      <c r="D46" t="s">
        <v>36</v>
      </c>
      <c r="E46">
        <v>44</v>
      </c>
      <c r="F46">
        <v>7</v>
      </c>
      <c r="G46">
        <v>420</v>
      </c>
      <c r="H46">
        <v>93000</v>
      </c>
      <c r="I46">
        <v>19000</v>
      </c>
    </row>
    <row r="47" spans="1:9">
      <c r="A47" s="1" t="s">
        <v>82</v>
      </c>
      <c r="B47" t="s">
        <v>25</v>
      </c>
      <c r="C47" t="s">
        <v>10</v>
      </c>
      <c r="D47" t="s">
        <v>38</v>
      </c>
      <c r="E47">
        <v>45</v>
      </c>
      <c r="F47">
        <v>10</v>
      </c>
      <c r="G47">
        <v>620</v>
      </c>
      <c r="H47">
        <v>149000</v>
      </c>
      <c r="I47">
        <v>49000</v>
      </c>
    </row>
    <row r="48" spans="1:9">
      <c r="A48" s="1" t="s">
        <v>83</v>
      </c>
      <c r="B48" t="s">
        <v>43</v>
      </c>
      <c r="C48" t="s">
        <v>44</v>
      </c>
      <c r="D48" t="s">
        <v>30</v>
      </c>
      <c r="E48">
        <v>39</v>
      </c>
      <c r="F48">
        <v>2</v>
      </c>
      <c r="G48">
        <v>540</v>
      </c>
      <c r="H48">
        <v>61000</v>
      </c>
      <c r="I48">
        <v>11500</v>
      </c>
    </row>
    <row r="49" spans="1:9">
      <c r="A49" s="1" t="s">
        <v>84</v>
      </c>
      <c r="B49" t="s">
        <v>7</v>
      </c>
      <c r="C49" t="s">
        <v>46</v>
      </c>
      <c r="D49" t="s">
        <v>47</v>
      </c>
      <c r="E49">
        <v>40</v>
      </c>
      <c r="F49">
        <v>4</v>
      </c>
      <c r="G49">
        <v>500</v>
      </c>
      <c r="H49">
        <v>116000</v>
      </c>
      <c r="I49">
        <v>25000</v>
      </c>
    </row>
    <row r="50" spans="1:9">
      <c r="A50" s="1" t="s">
        <v>85</v>
      </c>
      <c r="B50" t="s">
        <v>17</v>
      </c>
      <c r="C50" t="s">
        <v>35</v>
      </c>
      <c r="D50" t="s">
        <v>36</v>
      </c>
      <c r="E50">
        <v>43</v>
      </c>
      <c r="F50">
        <v>6</v>
      </c>
      <c r="G50">
        <v>430</v>
      </c>
      <c r="H50">
        <v>96000</v>
      </c>
      <c r="I50">
        <v>22000</v>
      </c>
    </row>
    <row r="51" spans="1:9">
      <c r="A51" s="1" t="s">
        <v>86</v>
      </c>
      <c r="B51" t="s">
        <v>25</v>
      </c>
      <c r="C51" t="s">
        <v>26</v>
      </c>
      <c r="D51" t="s">
        <v>38</v>
      </c>
      <c r="E51">
        <v>46</v>
      </c>
      <c r="F51">
        <v>9</v>
      </c>
      <c r="G51">
        <v>610</v>
      </c>
      <c r="H51">
        <v>151000</v>
      </c>
      <c r="I51">
        <v>50000</v>
      </c>
    </row>
    <row r="52" spans="1:9">
      <c r="A52" s="1" t="s">
        <v>87</v>
      </c>
      <c r="B52" t="s">
        <v>21</v>
      </c>
      <c r="C52" t="s">
        <v>40</v>
      </c>
      <c r="D52" t="s">
        <v>23</v>
      </c>
      <c r="E52">
        <v>35</v>
      </c>
      <c r="F52">
        <v>0</v>
      </c>
      <c r="G52">
        <v>350</v>
      </c>
      <c r="H52">
        <v>0</v>
      </c>
      <c r="I52">
        <v>0</v>
      </c>
    </row>
    <row r="53" spans="1:9">
      <c r="A53" s="1" t="s">
        <v>88</v>
      </c>
      <c r="B53" t="s">
        <v>43</v>
      </c>
      <c r="C53" t="s">
        <v>29</v>
      </c>
      <c r="D53" t="s">
        <v>30</v>
      </c>
      <c r="E53">
        <v>42</v>
      </c>
      <c r="F53">
        <v>3</v>
      </c>
      <c r="G53">
        <v>560</v>
      </c>
      <c r="H53">
        <v>65000</v>
      </c>
      <c r="I53">
        <v>15000</v>
      </c>
    </row>
    <row r="54" spans="1:9">
      <c r="A54" s="1" t="s">
        <v>89</v>
      </c>
      <c r="B54" t="s">
        <v>7</v>
      </c>
      <c r="C54" t="s">
        <v>14</v>
      </c>
      <c r="D54" t="s">
        <v>47</v>
      </c>
      <c r="E54">
        <v>39</v>
      </c>
      <c r="F54">
        <v>2</v>
      </c>
      <c r="G54">
        <v>480</v>
      </c>
      <c r="H54">
        <v>104000</v>
      </c>
      <c r="I54">
        <v>21000</v>
      </c>
    </row>
    <row r="55" spans="1:9">
      <c r="A55" s="1" t="s">
        <v>90</v>
      </c>
      <c r="B55" t="s">
        <v>17</v>
      </c>
      <c r="C55" t="s">
        <v>18</v>
      </c>
      <c r="D55" t="s">
        <v>36</v>
      </c>
      <c r="E55">
        <v>44</v>
      </c>
      <c r="F55">
        <v>5</v>
      </c>
      <c r="G55">
        <v>415</v>
      </c>
      <c r="H55">
        <v>91000</v>
      </c>
      <c r="I55">
        <v>17500</v>
      </c>
    </row>
    <row r="56" spans="1:9">
      <c r="A56" s="1" t="s">
        <v>91</v>
      </c>
      <c r="B56" t="s">
        <v>25</v>
      </c>
      <c r="C56" t="s">
        <v>10</v>
      </c>
      <c r="D56" t="s">
        <v>38</v>
      </c>
      <c r="E56">
        <v>47</v>
      </c>
      <c r="F56">
        <v>10</v>
      </c>
      <c r="G56">
        <v>630</v>
      </c>
      <c r="H56">
        <v>159000</v>
      </c>
      <c r="I56">
        <v>53000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92E6-6361-40F1-B705-3194B783CA79}">
  <dimension ref="A1:L61"/>
  <sheetViews>
    <sheetView workbookViewId="0"/>
  </sheetViews>
  <sheetFormatPr defaultRowHeight="15"/>
  <cols>
    <col min="1" max="1" width="36.5703125" bestFit="1" customWidth="1"/>
    <col min="2" max="2" width="12" customWidth="1"/>
    <col min="10" max="10" width="10.7109375" bestFit="1" customWidth="1"/>
    <col min="11" max="11" width="12.5703125" bestFit="1" customWidth="1"/>
    <col min="12" max="12" width="20.42578125" bestFit="1" customWidth="1"/>
  </cols>
  <sheetData>
    <row r="1" spans="1:12" ht="85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92</v>
      </c>
      <c r="K1" s="3" t="s">
        <v>93</v>
      </c>
      <c r="L1" s="3" t="s">
        <v>94</v>
      </c>
    </row>
    <row r="2" spans="1:12">
      <c r="A2" s="1" t="str">
        <f>PROPER(TRIM(Raw_Data!A2))</f>
        <v>John Kamau</v>
      </c>
      <c r="B2" t="str">
        <f>UPPER(TRIM(Raw_Data!B2))</f>
        <v>SALES</v>
      </c>
      <c r="C2" t="str">
        <f>PROPER(TRIM(Raw_Data!C2))</f>
        <v>Laptop</v>
      </c>
      <c r="D2" t="str">
        <f>PROPER(TRIM(Raw_Data!D2))</f>
        <v>Nairobi</v>
      </c>
      <c r="E2">
        <f>Raw_Data!E2</f>
        <v>40</v>
      </c>
      <c r="F2">
        <f>Raw_Data!F2</f>
        <v>5</v>
      </c>
      <c r="G2">
        <f>Raw_Data!G2</f>
        <v>500</v>
      </c>
      <c r="H2">
        <f>Raw_Data!H2</f>
        <v>120000</v>
      </c>
      <c r="I2">
        <f>Raw_Data!I2</f>
        <v>30000</v>
      </c>
      <c r="J2">
        <f>E2*G2</f>
        <v>20000</v>
      </c>
      <c r="K2">
        <f>F2*G2*1.5</f>
        <v>3750</v>
      </c>
      <c r="L2" t="str">
        <f>IF(H2&gt;120000,"Top Performer",IF(H2&gt;90000,"Average","Low"))</f>
        <v>Average</v>
      </c>
    </row>
    <row r="3" spans="1:12">
      <c r="A3" s="1" t="str">
        <f>PROPER(TRIM(Raw_Data!A3))</f>
        <v>Mary Wanjiku</v>
      </c>
      <c r="B3" t="str">
        <f>UPPER(TRIM(Raw_Data!B3))</f>
        <v>SALES</v>
      </c>
      <c r="C3" t="str">
        <f>PROPER(TRIM(Raw_Data!C3))</f>
        <v>Phone</v>
      </c>
      <c r="D3" t="str">
        <f>PROPER(TRIM(Raw_Data!D3))</f>
        <v>Nairobi</v>
      </c>
      <c r="E3">
        <f>Raw_Data!E3</f>
        <v>38</v>
      </c>
      <c r="F3">
        <f>Raw_Data!F3</f>
        <v>2</v>
      </c>
      <c r="G3">
        <f>Raw_Data!G3</f>
        <v>450</v>
      </c>
      <c r="H3">
        <f>Raw_Data!H3</f>
        <v>95000</v>
      </c>
      <c r="I3">
        <f>Raw_Data!I3</f>
        <v>20000</v>
      </c>
      <c r="J3">
        <f t="shared" ref="J3:J56" si="0">E3*G3</f>
        <v>17100</v>
      </c>
      <c r="K3">
        <f t="shared" ref="K3:K56" si="1">F3*G3*1.5</f>
        <v>1350</v>
      </c>
      <c r="L3" t="str">
        <f t="shared" ref="L3:L56" si="2">IF(H3&gt;120000,"Top Performer",IF(H3&gt;90000,"Average","Low"))</f>
        <v>Average</v>
      </c>
    </row>
    <row r="4" spans="1:12">
      <c r="A4" s="1" t="str">
        <f>PROPER(TRIM(Raw_Data!A4))</f>
        <v>Peter Otieno</v>
      </c>
      <c r="B4" t="str">
        <f>UPPER(TRIM(Raw_Data!B4))</f>
        <v>MARKETING</v>
      </c>
      <c r="C4" t="str">
        <f>PROPER(TRIM(Raw_Data!C4))</f>
        <v>Tablet</v>
      </c>
      <c r="D4" t="str">
        <f>PROPER(TRIM(Raw_Data!D4))</f>
        <v>Mombasa</v>
      </c>
      <c r="E4">
        <f>Raw_Data!E4</f>
        <v>42</v>
      </c>
      <c r="F4">
        <f>Raw_Data!F4</f>
        <v>6</v>
      </c>
      <c r="G4">
        <f>Raw_Data!G4</f>
        <v>400</v>
      </c>
      <c r="H4">
        <f>Raw_Data!H4</f>
        <v>87000</v>
      </c>
      <c r="I4">
        <f>Raw_Data!I4</f>
        <v>15000</v>
      </c>
      <c r="J4">
        <f t="shared" si="0"/>
        <v>16800</v>
      </c>
      <c r="K4">
        <f t="shared" si="1"/>
        <v>3600</v>
      </c>
      <c r="L4" t="str">
        <f t="shared" si="2"/>
        <v>Low</v>
      </c>
    </row>
    <row r="5" spans="1:12">
      <c r="A5" s="1" t="str">
        <f>PROPER(TRIM(Raw_Data!A5))</f>
        <v>Ann Njeri</v>
      </c>
      <c r="B5" t="str">
        <f>UPPER(TRIM(Raw_Data!B5))</f>
        <v>HR</v>
      </c>
      <c r="C5" t="str">
        <f>PROPER(TRIM(Raw_Data!C5))</f>
        <v>None</v>
      </c>
      <c r="D5" t="str">
        <f>PROPER(TRIM(Raw_Data!D5))</f>
        <v>Nakuru</v>
      </c>
      <c r="E5">
        <f>Raw_Data!E5</f>
        <v>36</v>
      </c>
      <c r="F5">
        <f>Raw_Data!F5</f>
        <v>0</v>
      </c>
      <c r="G5">
        <f>Raw_Data!G5</f>
        <v>350</v>
      </c>
      <c r="H5">
        <f>Raw_Data!H5</f>
        <v>0</v>
      </c>
      <c r="I5">
        <f>Raw_Data!I5</f>
        <v>0</v>
      </c>
      <c r="J5">
        <f t="shared" si="0"/>
        <v>12600</v>
      </c>
      <c r="K5">
        <f t="shared" si="1"/>
        <v>0</v>
      </c>
      <c r="L5" t="str">
        <f t="shared" si="2"/>
        <v>Low</v>
      </c>
    </row>
    <row r="6" spans="1:12">
      <c r="A6" s="1" t="str">
        <f>PROPER(TRIM(Raw_Data!A6))</f>
        <v>James Mwangi</v>
      </c>
      <c r="B6" t="str">
        <f>UPPER(TRIM(Raw_Data!B6))</f>
        <v>IT</v>
      </c>
      <c r="C6" t="str">
        <f>PROPER(TRIM(Raw_Data!C6))</f>
        <v>Laptop</v>
      </c>
      <c r="D6" t="str">
        <f>PROPER(TRIM(Raw_Data!D6))</f>
        <v>Nairobi</v>
      </c>
      <c r="E6">
        <f>Raw_Data!E6</f>
        <v>45</v>
      </c>
      <c r="F6">
        <f>Raw_Data!F6</f>
        <v>10</v>
      </c>
      <c r="G6">
        <f>Raw_Data!G6</f>
        <v>600</v>
      </c>
      <c r="H6">
        <f>Raw_Data!H6</f>
        <v>150000</v>
      </c>
      <c r="I6">
        <f>Raw_Data!I6</f>
        <v>50000</v>
      </c>
      <c r="J6">
        <f t="shared" si="0"/>
        <v>27000</v>
      </c>
      <c r="K6">
        <f t="shared" si="1"/>
        <v>9000</v>
      </c>
      <c r="L6" t="str">
        <f t="shared" si="2"/>
        <v>Top Performer</v>
      </c>
    </row>
    <row r="7" spans="1:12">
      <c r="A7" s="1" t="str">
        <f>PROPER(TRIM(Raw_Data!A7))</f>
        <v>Linda Cherono</v>
      </c>
      <c r="B7" t="str">
        <f>UPPER(TRIM(Raw_Data!B7))</f>
        <v>FINANCE</v>
      </c>
      <c r="C7" t="str">
        <f>PROPER(TRIM(Raw_Data!C7))</f>
        <v>Printer</v>
      </c>
      <c r="D7" t="str">
        <f>PROPER(TRIM(Raw_Data!D7))</f>
        <v>Eldoret</v>
      </c>
      <c r="E7">
        <f>Raw_Data!E7</f>
        <v>40</v>
      </c>
      <c r="F7">
        <f>Raw_Data!F7</f>
        <v>4</v>
      </c>
      <c r="G7">
        <f>Raw_Data!G7</f>
        <v>550</v>
      </c>
      <c r="H7">
        <f>Raw_Data!H7</f>
        <v>60000</v>
      </c>
      <c r="I7">
        <f>Raw_Data!I7</f>
        <v>10000</v>
      </c>
      <c r="J7">
        <f t="shared" si="0"/>
        <v>22000</v>
      </c>
      <c r="K7">
        <f t="shared" si="1"/>
        <v>3300</v>
      </c>
      <c r="L7" t="str">
        <f t="shared" si="2"/>
        <v>Low</v>
      </c>
    </row>
    <row r="8" spans="1:12">
      <c r="A8" s="1" t="str">
        <f>PROPER(TRIM(Raw_Data!A8))</f>
        <v>Kevin Kiptoo</v>
      </c>
      <c r="B8" t="str">
        <f>UPPER(TRIM(Raw_Data!B8))</f>
        <v>SALES</v>
      </c>
      <c r="C8" t="str">
        <f>PROPER(TRIM(Raw_Data!C8))</f>
        <v>Phone</v>
      </c>
      <c r="D8" t="str">
        <f>PROPER(TRIM(Raw_Data!D8))</f>
        <v>Kisumu</v>
      </c>
      <c r="E8">
        <f>Raw_Data!E8</f>
        <v>39</v>
      </c>
      <c r="F8">
        <f>Raw_Data!F8</f>
        <v>3</v>
      </c>
      <c r="G8">
        <f>Raw_Data!G8</f>
        <v>500</v>
      </c>
      <c r="H8">
        <f>Raw_Data!H8</f>
        <v>110000</v>
      </c>
      <c r="I8">
        <f>Raw_Data!I8</f>
        <v>25000</v>
      </c>
      <c r="J8">
        <f t="shared" si="0"/>
        <v>19500</v>
      </c>
      <c r="K8">
        <f t="shared" si="1"/>
        <v>2250</v>
      </c>
      <c r="L8" t="str">
        <f t="shared" si="2"/>
        <v>Average</v>
      </c>
    </row>
    <row r="9" spans="1:12">
      <c r="A9" s="1" t="str">
        <f>PROPER(TRIM(Raw_Data!A9))</f>
        <v>Susan Achieng</v>
      </c>
      <c r="B9" t="str">
        <f>UPPER(TRIM(Raw_Data!B9))</f>
        <v>MARKETING</v>
      </c>
      <c r="C9" t="str">
        <f>PROPER(TRIM(Raw_Data!C9))</f>
        <v>Tablet</v>
      </c>
      <c r="D9" t="str">
        <f>PROPER(TRIM(Raw_Data!D9))</f>
        <v>Mombasa</v>
      </c>
      <c r="E9">
        <f>Raw_Data!E9</f>
        <v>41</v>
      </c>
      <c r="F9">
        <f>Raw_Data!F9</f>
        <v>5</v>
      </c>
      <c r="G9">
        <f>Raw_Data!G9</f>
        <v>420</v>
      </c>
      <c r="H9">
        <f>Raw_Data!H9</f>
        <v>92000</v>
      </c>
      <c r="I9">
        <f>Raw_Data!I9</f>
        <v>18000</v>
      </c>
      <c r="J9">
        <f t="shared" si="0"/>
        <v>17220</v>
      </c>
      <c r="K9">
        <f t="shared" si="1"/>
        <v>3150</v>
      </c>
      <c r="L9" t="str">
        <f t="shared" si="2"/>
        <v>Average</v>
      </c>
    </row>
    <row r="10" spans="1:12">
      <c r="A10" s="1" t="str">
        <f>PROPER(TRIM(Raw_Data!A10))</f>
        <v>Brian Mutiso</v>
      </c>
      <c r="B10" t="str">
        <f>UPPER(TRIM(Raw_Data!B10))</f>
        <v>IT</v>
      </c>
      <c r="C10" t="str">
        <f>PROPER(TRIM(Raw_Data!C10))</f>
        <v>Laptop</v>
      </c>
      <c r="D10" t="str">
        <f>PROPER(TRIM(Raw_Data!D10))</f>
        <v>Nairobi</v>
      </c>
      <c r="E10">
        <f>Raw_Data!E10</f>
        <v>44</v>
      </c>
      <c r="F10">
        <f>Raw_Data!F10</f>
        <v>8</v>
      </c>
      <c r="G10">
        <f>Raw_Data!G10</f>
        <v>600</v>
      </c>
      <c r="H10">
        <f>Raw_Data!H10</f>
        <v>140000</v>
      </c>
      <c r="I10">
        <f>Raw_Data!I10</f>
        <v>45000</v>
      </c>
      <c r="J10">
        <f t="shared" si="0"/>
        <v>26400</v>
      </c>
      <c r="K10">
        <f t="shared" si="1"/>
        <v>7200</v>
      </c>
      <c r="L10" t="str">
        <f t="shared" si="2"/>
        <v>Top Performer</v>
      </c>
    </row>
    <row r="11" spans="1:12">
      <c r="A11" s="1" t="str">
        <f>PROPER(TRIM(Raw_Data!A11))</f>
        <v>Grace Wairimu</v>
      </c>
      <c r="B11" t="str">
        <f>UPPER(TRIM(Raw_Data!B11))</f>
        <v>HR</v>
      </c>
      <c r="C11" t="str">
        <f>PROPER(TRIM(Raw_Data!C11))</f>
        <v>None</v>
      </c>
      <c r="D11" t="str">
        <f>PROPER(TRIM(Raw_Data!D11))</f>
        <v>Nakuru</v>
      </c>
      <c r="E11">
        <f>Raw_Data!E11</f>
        <v>37</v>
      </c>
      <c r="F11">
        <f>Raw_Data!F11</f>
        <v>1</v>
      </c>
      <c r="G11">
        <f>Raw_Data!G11</f>
        <v>360</v>
      </c>
      <c r="H11">
        <f>Raw_Data!H11</f>
        <v>0</v>
      </c>
      <c r="I11">
        <f>Raw_Data!I11</f>
        <v>0</v>
      </c>
      <c r="J11">
        <f t="shared" si="0"/>
        <v>13320</v>
      </c>
      <c r="K11">
        <f t="shared" si="1"/>
        <v>540</v>
      </c>
      <c r="L11" t="str">
        <f t="shared" si="2"/>
        <v>Low</v>
      </c>
    </row>
    <row r="12" spans="1:12">
      <c r="A12" s="1" t="str">
        <f>PROPER(TRIM(Raw_Data!A12))</f>
        <v>Daniel Kirui</v>
      </c>
      <c r="B12" t="str">
        <f>UPPER(TRIM(Raw_Data!B12))</f>
        <v>FINANCE</v>
      </c>
      <c r="C12" t="str">
        <f>PROPER(TRIM(Raw_Data!C12))</f>
        <v>Printer</v>
      </c>
      <c r="D12" t="str">
        <f>PROPER(TRIM(Raw_Data!D12))</f>
        <v>Eldoret</v>
      </c>
      <c r="E12">
        <f>Raw_Data!E12</f>
        <v>40</v>
      </c>
      <c r="F12">
        <f>Raw_Data!F12</f>
        <v>2</v>
      </c>
      <c r="G12">
        <f>Raw_Data!G12</f>
        <v>550</v>
      </c>
      <c r="H12">
        <f>Raw_Data!H12</f>
        <v>58000</v>
      </c>
      <c r="I12">
        <f>Raw_Data!I12</f>
        <v>9000</v>
      </c>
      <c r="J12">
        <f t="shared" si="0"/>
        <v>22000</v>
      </c>
      <c r="K12">
        <f t="shared" si="1"/>
        <v>1650</v>
      </c>
      <c r="L12" t="str">
        <f t="shared" si="2"/>
        <v>Low</v>
      </c>
    </row>
    <row r="13" spans="1:12">
      <c r="A13" s="1" t="str">
        <f>PROPER(TRIM(Raw_Data!A13))</f>
        <v>Mercy Atieno</v>
      </c>
      <c r="B13" t="str">
        <f>UPPER(TRIM(Raw_Data!B13))</f>
        <v>SALES</v>
      </c>
      <c r="C13" t="str">
        <f>PROPER(TRIM(Raw_Data!C13))</f>
        <v>Phone</v>
      </c>
      <c r="D13" t="str">
        <f>PROPER(TRIM(Raw_Data!D13))</f>
        <v>Kisumu</v>
      </c>
      <c r="E13">
        <f>Raw_Data!E13</f>
        <v>38</v>
      </c>
      <c r="F13">
        <f>Raw_Data!F13</f>
        <v>4</v>
      </c>
      <c r="G13">
        <f>Raw_Data!G13</f>
        <v>480</v>
      </c>
      <c r="H13">
        <f>Raw_Data!H13</f>
        <v>105000</v>
      </c>
      <c r="I13">
        <f>Raw_Data!I13</f>
        <v>22000</v>
      </c>
      <c r="J13">
        <f t="shared" si="0"/>
        <v>18240</v>
      </c>
      <c r="K13">
        <f t="shared" si="1"/>
        <v>2880</v>
      </c>
      <c r="L13" t="str">
        <f t="shared" si="2"/>
        <v>Average</v>
      </c>
    </row>
    <row r="14" spans="1:12">
      <c r="A14" s="1" t="str">
        <f>PROPER(TRIM(Raw_Data!A14))</f>
        <v>Steve Otieno</v>
      </c>
      <c r="B14" t="str">
        <f>UPPER(TRIM(Raw_Data!B14))</f>
        <v>MARKETING</v>
      </c>
      <c r="C14" t="str">
        <f>PROPER(TRIM(Raw_Data!C14))</f>
        <v>Tablet</v>
      </c>
      <c r="D14" t="str">
        <f>PROPER(TRIM(Raw_Data!D14))</f>
        <v>Mombasa</v>
      </c>
      <c r="E14">
        <f>Raw_Data!E14</f>
        <v>43</v>
      </c>
      <c r="F14">
        <f>Raw_Data!F14</f>
        <v>6</v>
      </c>
      <c r="G14">
        <f>Raw_Data!G14</f>
        <v>410</v>
      </c>
      <c r="H14">
        <f>Raw_Data!H14</f>
        <v>89000</v>
      </c>
      <c r="I14">
        <f>Raw_Data!I14</f>
        <v>16000</v>
      </c>
      <c r="J14">
        <f t="shared" si="0"/>
        <v>17630</v>
      </c>
      <c r="K14">
        <f t="shared" si="1"/>
        <v>3690</v>
      </c>
      <c r="L14" t="str">
        <f t="shared" si="2"/>
        <v>Low</v>
      </c>
    </row>
    <row r="15" spans="1:12">
      <c r="A15" s="1" t="str">
        <f>PROPER(TRIM(Raw_Data!A15))</f>
        <v>Carol Njeri</v>
      </c>
      <c r="B15" t="str">
        <f>UPPER(TRIM(Raw_Data!B15))</f>
        <v>HR</v>
      </c>
      <c r="C15" t="str">
        <f>PROPER(TRIM(Raw_Data!C15))</f>
        <v>None</v>
      </c>
      <c r="D15" t="str">
        <f>PROPER(TRIM(Raw_Data!D15))</f>
        <v>Nakuru</v>
      </c>
      <c r="E15">
        <f>Raw_Data!E15</f>
        <v>35</v>
      </c>
      <c r="F15">
        <f>Raw_Data!F15</f>
        <v>0</v>
      </c>
      <c r="G15">
        <f>Raw_Data!G15</f>
        <v>350</v>
      </c>
      <c r="H15">
        <f>Raw_Data!H15</f>
        <v>0</v>
      </c>
      <c r="I15">
        <f>Raw_Data!I15</f>
        <v>0</v>
      </c>
      <c r="J15">
        <f t="shared" si="0"/>
        <v>12250</v>
      </c>
      <c r="K15">
        <f t="shared" si="1"/>
        <v>0</v>
      </c>
      <c r="L15" t="str">
        <f t="shared" si="2"/>
        <v>Low</v>
      </c>
    </row>
    <row r="16" spans="1:12">
      <c r="A16" s="1" t="str">
        <f>PROPER(TRIM(Raw_Data!A16))</f>
        <v>Paul Mwangi</v>
      </c>
      <c r="B16" t="str">
        <f>UPPER(TRIM(Raw_Data!B16))</f>
        <v>IT</v>
      </c>
      <c r="C16" t="str">
        <f>PROPER(TRIM(Raw_Data!C16))</f>
        <v>Laptop</v>
      </c>
      <c r="D16" t="str">
        <f>PROPER(TRIM(Raw_Data!D16))</f>
        <v>Nairobi</v>
      </c>
      <c r="E16">
        <f>Raw_Data!E16</f>
        <v>46</v>
      </c>
      <c r="F16">
        <f>Raw_Data!F16</f>
        <v>9</v>
      </c>
      <c r="G16">
        <f>Raw_Data!G16</f>
        <v>620</v>
      </c>
      <c r="H16">
        <f>Raw_Data!H16</f>
        <v>155000</v>
      </c>
      <c r="I16">
        <f>Raw_Data!I16</f>
        <v>52000</v>
      </c>
      <c r="J16">
        <f t="shared" si="0"/>
        <v>28520</v>
      </c>
      <c r="K16">
        <f t="shared" si="1"/>
        <v>8370</v>
      </c>
      <c r="L16" t="str">
        <f t="shared" si="2"/>
        <v>Top Performer</v>
      </c>
    </row>
    <row r="17" spans="1:12">
      <c r="A17" s="1" t="str">
        <f>PROPER(TRIM(Raw_Data!A17))</f>
        <v>Esther Wanjiru</v>
      </c>
      <c r="B17" t="str">
        <f>UPPER(TRIM(Raw_Data!B17))</f>
        <v>FINANCE</v>
      </c>
      <c r="C17" t="str">
        <f>PROPER(TRIM(Raw_Data!C17))</f>
        <v>Printer</v>
      </c>
      <c r="D17" t="str">
        <f>PROPER(TRIM(Raw_Data!D17))</f>
        <v>Eldoret</v>
      </c>
      <c r="E17">
        <f>Raw_Data!E17</f>
        <v>39</v>
      </c>
      <c r="F17">
        <f>Raw_Data!F17</f>
        <v>3</v>
      </c>
      <c r="G17">
        <f>Raw_Data!G17</f>
        <v>540</v>
      </c>
      <c r="H17">
        <f>Raw_Data!H17</f>
        <v>61000</v>
      </c>
      <c r="I17">
        <f>Raw_Data!I17</f>
        <v>11000</v>
      </c>
      <c r="J17">
        <f t="shared" si="0"/>
        <v>21060</v>
      </c>
      <c r="K17">
        <f t="shared" si="1"/>
        <v>2430</v>
      </c>
      <c r="L17" t="str">
        <f t="shared" si="2"/>
        <v>Low</v>
      </c>
    </row>
    <row r="18" spans="1:12">
      <c r="A18" s="1" t="str">
        <f>PROPER(TRIM(Raw_Data!A18))</f>
        <v>Alex Kiptoo</v>
      </c>
      <c r="B18" t="str">
        <f>UPPER(TRIM(Raw_Data!B18))</f>
        <v>SALES</v>
      </c>
      <c r="C18" t="str">
        <f>PROPER(TRIM(Raw_Data!C18))</f>
        <v>Phone</v>
      </c>
      <c r="D18" t="str">
        <f>PROPER(TRIM(Raw_Data!D18))</f>
        <v>Kisumu</v>
      </c>
      <c r="E18">
        <f>Raw_Data!E18</f>
        <v>40</v>
      </c>
      <c r="F18">
        <f>Raw_Data!F18</f>
        <v>5</v>
      </c>
      <c r="G18">
        <f>Raw_Data!G18</f>
        <v>500</v>
      </c>
      <c r="H18">
        <f>Raw_Data!H18</f>
        <v>115000</v>
      </c>
      <c r="I18">
        <f>Raw_Data!I18</f>
        <v>26000</v>
      </c>
      <c r="J18">
        <f t="shared" si="0"/>
        <v>20000</v>
      </c>
      <c r="K18">
        <f t="shared" si="1"/>
        <v>3750</v>
      </c>
      <c r="L18" t="str">
        <f t="shared" si="2"/>
        <v>Average</v>
      </c>
    </row>
    <row r="19" spans="1:12">
      <c r="A19" s="1" t="str">
        <f>PROPER(TRIM(Raw_Data!A19))</f>
        <v>Ruth Chebet</v>
      </c>
      <c r="B19" t="str">
        <f>UPPER(TRIM(Raw_Data!B19))</f>
        <v>MARKETING</v>
      </c>
      <c r="C19" t="str">
        <f>PROPER(TRIM(Raw_Data!C19))</f>
        <v>Tablet</v>
      </c>
      <c r="D19" t="str">
        <f>PROPER(TRIM(Raw_Data!D19))</f>
        <v>Mombasa</v>
      </c>
      <c r="E19">
        <f>Raw_Data!E19</f>
        <v>42</v>
      </c>
      <c r="F19">
        <f>Raw_Data!F19</f>
        <v>7</v>
      </c>
      <c r="G19">
        <f>Raw_Data!G19</f>
        <v>430</v>
      </c>
      <c r="H19">
        <f>Raw_Data!H19</f>
        <v>93000</v>
      </c>
      <c r="I19">
        <f>Raw_Data!I19</f>
        <v>19000</v>
      </c>
      <c r="J19">
        <f t="shared" si="0"/>
        <v>18060</v>
      </c>
      <c r="K19">
        <f t="shared" si="1"/>
        <v>4515</v>
      </c>
      <c r="L19" t="str">
        <f t="shared" si="2"/>
        <v>Average</v>
      </c>
    </row>
    <row r="20" spans="1:12">
      <c r="A20" s="1" t="str">
        <f>PROPER(TRIM(Raw_Data!A20))</f>
        <v>George Mutua</v>
      </c>
      <c r="B20" t="str">
        <f>UPPER(TRIM(Raw_Data!B20))</f>
        <v>IT</v>
      </c>
      <c r="C20" t="str">
        <f>PROPER(TRIM(Raw_Data!C20))</f>
        <v>Laptop</v>
      </c>
      <c r="D20" t="str">
        <f>PROPER(TRIM(Raw_Data!D20))</f>
        <v>Nairobi</v>
      </c>
      <c r="E20">
        <f>Raw_Data!E20</f>
        <v>45</v>
      </c>
      <c r="F20">
        <f>Raw_Data!F20</f>
        <v>10</v>
      </c>
      <c r="G20">
        <f>Raw_Data!G20</f>
        <v>610</v>
      </c>
      <c r="H20">
        <f>Raw_Data!H20</f>
        <v>148000</v>
      </c>
      <c r="I20">
        <f>Raw_Data!I20</f>
        <v>48000</v>
      </c>
      <c r="J20">
        <f t="shared" si="0"/>
        <v>27450</v>
      </c>
      <c r="K20">
        <f t="shared" si="1"/>
        <v>9150</v>
      </c>
      <c r="L20" t="str">
        <f t="shared" si="2"/>
        <v>Top Performer</v>
      </c>
    </row>
    <row r="21" spans="1:12">
      <c r="A21" s="1" t="str">
        <f>PROPER(TRIM(Raw_Data!A21))</f>
        <v>Lucy Wanjiku</v>
      </c>
      <c r="B21" t="str">
        <f>UPPER(TRIM(Raw_Data!B21))</f>
        <v>HR</v>
      </c>
      <c r="C21" t="str">
        <f>PROPER(TRIM(Raw_Data!C21))</f>
        <v>None</v>
      </c>
      <c r="D21" t="str">
        <f>PROPER(TRIM(Raw_Data!D21))</f>
        <v>Nakuru</v>
      </c>
      <c r="E21">
        <f>Raw_Data!E21</f>
        <v>36</v>
      </c>
      <c r="F21">
        <f>Raw_Data!F21</f>
        <v>0</v>
      </c>
      <c r="G21">
        <f>Raw_Data!G21</f>
        <v>355</v>
      </c>
      <c r="H21">
        <f>Raw_Data!H21</f>
        <v>0</v>
      </c>
      <c r="I21">
        <f>Raw_Data!I21</f>
        <v>0</v>
      </c>
      <c r="J21">
        <f t="shared" si="0"/>
        <v>12780</v>
      </c>
      <c r="K21">
        <f t="shared" si="1"/>
        <v>0</v>
      </c>
      <c r="L21" t="str">
        <f t="shared" si="2"/>
        <v>Low</v>
      </c>
    </row>
    <row r="22" spans="1:12">
      <c r="A22" s="1" t="str">
        <f>PROPER(TRIM(Raw_Data!A22))</f>
        <v>Samuel Kiptoo</v>
      </c>
      <c r="B22" t="str">
        <f>UPPER(TRIM(Raw_Data!B22))</f>
        <v>FINANCE</v>
      </c>
      <c r="C22" t="str">
        <f>PROPER(TRIM(Raw_Data!C22))</f>
        <v>Printer</v>
      </c>
      <c r="D22" t="str">
        <f>PROPER(TRIM(Raw_Data!D22))</f>
        <v>Eldoret</v>
      </c>
      <c r="E22">
        <f>Raw_Data!E22</f>
        <v>41</v>
      </c>
      <c r="F22">
        <f>Raw_Data!F22</f>
        <v>4</v>
      </c>
      <c r="G22">
        <f>Raw_Data!G22</f>
        <v>560</v>
      </c>
      <c r="H22">
        <f>Raw_Data!H22</f>
        <v>62000</v>
      </c>
      <c r="I22">
        <f>Raw_Data!I22</f>
        <v>12000</v>
      </c>
      <c r="J22">
        <f t="shared" si="0"/>
        <v>22960</v>
      </c>
      <c r="K22">
        <f t="shared" si="1"/>
        <v>3360</v>
      </c>
      <c r="L22" t="str">
        <f t="shared" si="2"/>
        <v>Low</v>
      </c>
    </row>
    <row r="23" spans="1:12">
      <c r="A23" s="1" t="str">
        <f>PROPER(TRIM(Raw_Data!A23))</f>
        <v>Ivy Atieno</v>
      </c>
      <c r="B23" t="str">
        <f>UPPER(TRIM(Raw_Data!B23))</f>
        <v>SALES</v>
      </c>
      <c r="C23" t="str">
        <f>PROPER(TRIM(Raw_Data!C23))</f>
        <v>Phone</v>
      </c>
      <c r="D23" t="str">
        <f>PROPER(TRIM(Raw_Data!D23))</f>
        <v>Kisumu</v>
      </c>
      <c r="E23">
        <f>Raw_Data!E23</f>
        <v>37</v>
      </c>
      <c r="F23">
        <f>Raw_Data!F23</f>
        <v>2</v>
      </c>
      <c r="G23">
        <f>Raw_Data!G23</f>
        <v>470</v>
      </c>
      <c r="H23">
        <f>Raw_Data!H23</f>
        <v>100000</v>
      </c>
      <c r="I23">
        <f>Raw_Data!I23</f>
        <v>21000</v>
      </c>
      <c r="J23">
        <f t="shared" si="0"/>
        <v>17390</v>
      </c>
      <c r="K23">
        <f t="shared" si="1"/>
        <v>1410</v>
      </c>
      <c r="L23" t="str">
        <f t="shared" si="2"/>
        <v>Average</v>
      </c>
    </row>
    <row r="24" spans="1:12">
      <c r="A24" s="1" t="str">
        <f>PROPER(TRIM(Raw_Data!A24))</f>
        <v>Mark Otieno</v>
      </c>
      <c r="B24" t="str">
        <f>UPPER(TRIM(Raw_Data!B24))</f>
        <v>MARKETING</v>
      </c>
      <c r="C24" t="str">
        <f>PROPER(TRIM(Raw_Data!C24))</f>
        <v>Tablet</v>
      </c>
      <c r="D24" t="str">
        <f>PROPER(TRIM(Raw_Data!D24))</f>
        <v>Mombasa</v>
      </c>
      <c r="E24">
        <f>Raw_Data!E24</f>
        <v>44</v>
      </c>
      <c r="F24">
        <f>Raw_Data!F24</f>
        <v>6</v>
      </c>
      <c r="G24">
        <f>Raw_Data!G24</f>
        <v>415</v>
      </c>
      <c r="H24">
        <f>Raw_Data!H24</f>
        <v>91000</v>
      </c>
      <c r="I24">
        <f>Raw_Data!I24</f>
        <v>17000</v>
      </c>
      <c r="J24">
        <f t="shared" si="0"/>
        <v>18260</v>
      </c>
      <c r="K24">
        <f t="shared" si="1"/>
        <v>3735</v>
      </c>
      <c r="L24" t="str">
        <f t="shared" si="2"/>
        <v>Average</v>
      </c>
    </row>
    <row r="25" spans="1:12">
      <c r="A25" s="1" t="str">
        <f>PROPER(TRIM(Raw_Data!A25))</f>
        <v>Nancy Njeri</v>
      </c>
      <c r="B25" t="str">
        <f>UPPER(TRIM(Raw_Data!B25))</f>
        <v>HR</v>
      </c>
      <c r="C25" t="str">
        <f>PROPER(TRIM(Raw_Data!C25))</f>
        <v>None</v>
      </c>
      <c r="D25" t="str">
        <f>PROPER(TRIM(Raw_Data!D25))</f>
        <v>Nakuru</v>
      </c>
      <c r="E25">
        <f>Raw_Data!E25</f>
        <v>35</v>
      </c>
      <c r="F25">
        <f>Raw_Data!F25</f>
        <v>0</v>
      </c>
      <c r="G25">
        <f>Raw_Data!G25</f>
        <v>350</v>
      </c>
      <c r="H25">
        <f>Raw_Data!H25</f>
        <v>0</v>
      </c>
      <c r="I25">
        <f>Raw_Data!I25</f>
        <v>0</v>
      </c>
      <c r="J25">
        <f t="shared" si="0"/>
        <v>12250</v>
      </c>
      <c r="K25">
        <f t="shared" si="1"/>
        <v>0</v>
      </c>
      <c r="L25" t="str">
        <f t="shared" si="2"/>
        <v>Low</v>
      </c>
    </row>
    <row r="26" spans="1:12">
      <c r="A26" s="1" t="str">
        <f>PROPER(TRIM(Raw_Data!A26))</f>
        <v>Eric Mwangi</v>
      </c>
      <c r="B26" t="str">
        <f>UPPER(TRIM(Raw_Data!B26))</f>
        <v>IT</v>
      </c>
      <c r="C26" t="str">
        <f>PROPER(TRIM(Raw_Data!C26))</f>
        <v>Laptop</v>
      </c>
      <c r="D26" t="str">
        <f>PROPER(TRIM(Raw_Data!D26))</f>
        <v>Nairobi</v>
      </c>
      <c r="E26">
        <f>Raw_Data!E26</f>
        <v>47</v>
      </c>
      <c r="F26">
        <f>Raw_Data!F26</f>
        <v>11</v>
      </c>
      <c r="G26">
        <f>Raw_Data!G26</f>
        <v>630</v>
      </c>
      <c r="H26">
        <f>Raw_Data!H26</f>
        <v>160000</v>
      </c>
      <c r="I26">
        <f>Raw_Data!I26</f>
        <v>55000</v>
      </c>
      <c r="J26">
        <f t="shared" si="0"/>
        <v>29610</v>
      </c>
      <c r="K26">
        <f t="shared" si="1"/>
        <v>10395</v>
      </c>
      <c r="L26" t="str">
        <f t="shared" si="2"/>
        <v>Top Performer</v>
      </c>
    </row>
    <row r="27" spans="1:12">
      <c r="A27" s="1" t="str">
        <f>PROPER(TRIM(Raw_Data!A27))</f>
        <v>David Mutua</v>
      </c>
      <c r="B27" t="str">
        <f>UPPER(TRIM(Raw_Data!B27))</f>
        <v>SALES</v>
      </c>
      <c r="C27" t="str">
        <f>PROPER(TRIM(Raw_Data!C27))</f>
        <v>Laptop</v>
      </c>
      <c r="D27" t="str">
        <f>PROPER(TRIM(Raw_Data!D27))</f>
        <v>Nairobi</v>
      </c>
      <c r="E27">
        <f>Raw_Data!E27</f>
        <v>41</v>
      </c>
      <c r="F27">
        <f>Raw_Data!F27</f>
        <v>4</v>
      </c>
      <c r="G27">
        <f>Raw_Data!G27</f>
        <v>510</v>
      </c>
      <c r="H27">
        <f>Raw_Data!H27</f>
        <v>125000</v>
      </c>
      <c r="I27">
        <f>Raw_Data!I27</f>
        <v>32000</v>
      </c>
      <c r="J27">
        <f t="shared" si="0"/>
        <v>20910</v>
      </c>
      <c r="K27">
        <f t="shared" si="1"/>
        <v>3060</v>
      </c>
      <c r="L27" t="str">
        <f t="shared" si="2"/>
        <v>Top Performer</v>
      </c>
    </row>
    <row r="28" spans="1:12">
      <c r="A28" s="1" t="str">
        <f>PROPER(TRIM(Raw_Data!A28))</f>
        <v>Faith Chebet</v>
      </c>
      <c r="B28" t="str">
        <f>UPPER(TRIM(Raw_Data!B28))</f>
        <v>MARKETING</v>
      </c>
      <c r="C28" t="str">
        <f>PROPER(TRIM(Raw_Data!C28))</f>
        <v>Phone</v>
      </c>
      <c r="D28" t="str">
        <f>PROPER(TRIM(Raw_Data!D28))</f>
        <v>Mombasa</v>
      </c>
      <c r="E28">
        <f>Raw_Data!E28</f>
        <v>39</v>
      </c>
      <c r="F28">
        <f>Raw_Data!F28</f>
        <v>3</v>
      </c>
      <c r="G28">
        <f>Raw_Data!G28</f>
        <v>430</v>
      </c>
      <c r="H28">
        <f>Raw_Data!H28</f>
        <v>88000</v>
      </c>
      <c r="I28">
        <f>Raw_Data!I28</f>
        <v>16000</v>
      </c>
      <c r="J28">
        <f t="shared" si="0"/>
        <v>16770</v>
      </c>
      <c r="K28">
        <f t="shared" si="1"/>
        <v>1935</v>
      </c>
      <c r="L28" t="str">
        <f t="shared" si="2"/>
        <v>Low</v>
      </c>
    </row>
    <row r="29" spans="1:12">
      <c r="A29" s="1" t="str">
        <f>PROPER(TRIM(Raw_Data!A29))</f>
        <v>Kennedy Otieno</v>
      </c>
      <c r="B29" t="str">
        <f>UPPER(TRIM(Raw_Data!B29))</f>
        <v>IT</v>
      </c>
      <c r="C29" t="str">
        <f>PROPER(TRIM(Raw_Data!C29))</f>
        <v>Tablet</v>
      </c>
      <c r="D29" t="str">
        <f>PROPER(TRIM(Raw_Data!D29))</f>
        <v>Nairobi</v>
      </c>
      <c r="E29">
        <f>Raw_Data!E29</f>
        <v>44</v>
      </c>
      <c r="F29">
        <f>Raw_Data!F29</f>
        <v>9</v>
      </c>
      <c r="G29">
        <f>Raw_Data!G29</f>
        <v>620</v>
      </c>
      <c r="H29">
        <f>Raw_Data!H29</f>
        <v>142000</v>
      </c>
      <c r="I29">
        <f>Raw_Data!I29</f>
        <v>46000</v>
      </c>
      <c r="J29">
        <f t="shared" si="0"/>
        <v>27280</v>
      </c>
      <c r="K29">
        <f t="shared" si="1"/>
        <v>8370</v>
      </c>
      <c r="L29" t="str">
        <f t="shared" si="2"/>
        <v>Top Performer</v>
      </c>
    </row>
    <row r="30" spans="1:12">
      <c r="A30" s="1" t="str">
        <f>PROPER(TRIM(Raw_Data!A30))</f>
        <v>Janet Wanjiru</v>
      </c>
      <c r="B30" t="str">
        <f>UPPER(TRIM(Raw_Data!B30))</f>
        <v>FINANCE</v>
      </c>
      <c r="C30" t="str">
        <f>PROPER(TRIM(Raw_Data!C30))</f>
        <v>Printer</v>
      </c>
      <c r="D30" t="str">
        <f>PROPER(TRIM(Raw_Data!D30))</f>
        <v>Eldoret</v>
      </c>
      <c r="E30">
        <f>Raw_Data!E30</f>
        <v>38</v>
      </c>
      <c r="F30">
        <f>Raw_Data!F30</f>
        <v>2</v>
      </c>
      <c r="G30">
        <f>Raw_Data!G30</f>
        <v>540</v>
      </c>
      <c r="H30">
        <f>Raw_Data!H30</f>
        <v>59000</v>
      </c>
      <c r="I30">
        <f>Raw_Data!I30</f>
        <v>10000</v>
      </c>
      <c r="J30">
        <f t="shared" si="0"/>
        <v>20520</v>
      </c>
      <c r="K30">
        <f t="shared" si="1"/>
        <v>1620</v>
      </c>
      <c r="L30" t="str">
        <f t="shared" si="2"/>
        <v>Low</v>
      </c>
    </row>
    <row r="31" spans="1:12">
      <c r="A31" s="1" t="str">
        <f>PROPER(TRIM(Raw_Data!A31))</f>
        <v>Benson Kiptoo</v>
      </c>
      <c r="B31" t="str">
        <f>UPPER(TRIM(Raw_Data!B31))</f>
        <v>SALES</v>
      </c>
      <c r="C31" t="str">
        <f>PROPER(TRIM(Raw_Data!C31))</f>
        <v>Phone</v>
      </c>
      <c r="D31" t="str">
        <f>PROPER(TRIM(Raw_Data!D31))</f>
        <v>Kisumu</v>
      </c>
      <c r="E31">
        <f>Raw_Data!E31</f>
        <v>40</v>
      </c>
      <c r="F31">
        <f>Raw_Data!F31</f>
        <v>6</v>
      </c>
      <c r="G31">
        <f>Raw_Data!G31</f>
        <v>500</v>
      </c>
      <c r="H31">
        <f>Raw_Data!H31</f>
        <v>118000</v>
      </c>
      <c r="I31">
        <f>Raw_Data!I31</f>
        <v>27000</v>
      </c>
      <c r="J31">
        <f t="shared" si="0"/>
        <v>20000</v>
      </c>
      <c r="K31">
        <f t="shared" si="1"/>
        <v>4500</v>
      </c>
      <c r="L31" t="str">
        <f t="shared" si="2"/>
        <v>Average</v>
      </c>
    </row>
    <row r="32" spans="1:12">
      <c r="A32" s="1" t="str">
        <f>PROPER(TRIM(Raw_Data!A32))</f>
        <v>Naomi Achieng</v>
      </c>
      <c r="B32" t="str">
        <f>UPPER(TRIM(Raw_Data!B32))</f>
        <v>MARKETING</v>
      </c>
      <c r="C32" t="str">
        <f>PROPER(TRIM(Raw_Data!C32))</f>
        <v>Tablet</v>
      </c>
      <c r="D32" t="str">
        <f>PROPER(TRIM(Raw_Data!D32))</f>
        <v>Mombasa</v>
      </c>
      <c r="E32">
        <f>Raw_Data!E32</f>
        <v>43</v>
      </c>
      <c r="F32">
        <f>Raw_Data!F32</f>
        <v>5</v>
      </c>
      <c r="G32">
        <f>Raw_Data!G32</f>
        <v>420</v>
      </c>
      <c r="H32">
        <f>Raw_Data!H32</f>
        <v>94000</v>
      </c>
      <c r="I32">
        <f>Raw_Data!I32</f>
        <v>20000</v>
      </c>
      <c r="J32">
        <f t="shared" si="0"/>
        <v>18060</v>
      </c>
      <c r="K32">
        <f t="shared" si="1"/>
        <v>3150</v>
      </c>
      <c r="L32" t="str">
        <f t="shared" si="2"/>
        <v>Average</v>
      </c>
    </row>
    <row r="33" spans="1:12">
      <c r="A33" s="1" t="str">
        <f>PROPER(TRIM(Raw_Data!A33))</f>
        <v>Victor Mwangi</v>
      </c>
      <c r="B33" t="str">
        <f>UPPER(TRIM(Raw_Data!B33))</f>
        <v>IT</v>
      </c>
      <c r="C33" t="str">
        <f>PROPER(TRIM(Raw_Data!C33))</f>
        <v>Laptop</v>
      </c>
      <c r="D33" t="str">
        <f>PROPER(TRIM(Raw_Data!D33))</f>
        <v>Nairobi</v>
      </c>
      <c r="E33">
        <f>Raw_Data!E33</f>
        <v>46</v>
      </c>
      <c r="F33">
        <f>Raw_Data!F33</f>
        <v>10</v>
      </c>
      <c r="G33">
        <f>Raw_Data!G33</f>
        <v>610</v>
      </c>
      <c r="H33">
        <f>Raw_Data!H33</f>
        <v>152000</v>
      </c>
      <c r="I33">
        <f>Raw_Data!I33</f>
        <v>51000</v>
      </c>
      <c r="J33">
        <f t="shared" si="0"/>
        <v>28060</v>
      </c>
      <c r="K33">
        <f t="shared" si="1"/>
        <v>9150</v>
      </c>
      <c r="L33" t="str">
        <f t="shared" si="2"/>
        <v>Top Performer</v>
      </c>
    </row>
    <row r="34" spans="1:12">
      <c r="A34" s="1" t="str">
        <f>PROPER(TRIM(Raw_Data!A34))</f>
        <v>Cynthia Njeri</v>
      </c>
      <c r="B34" t="str">
        <f>UPPER(TRIM(Raw_Data!B34))</f>
        <v>HR</v>
      </c>
      <c r="C34" t="str">
        <f>PROPER(TRIM(Raw_Data!C34))</f>
        <v>None</v>
      </c>
      <c r="D34" t="str">
        <f>PROPER(TRIM(Raw_Data!D34))</f>
        <v>Nakuru</v>
      </c>
      <c r="E34">
        <f>Raw_Data!E34</f>
        <v>37</v>
      </c>
      <c r="F34">
        <f>Raw_Data!F34</f>
        <v>0</v>
      </c>
      <c r="G34">
        <f>Raw_Data!G34</f>
        <v>360</v>
      </c>
      <c r="H34">
        <f>Raw_Data!H34</f>
        <v>0</v>
      </c>
      <c r="I34">
        <f>Raw_Data!I34</f>
        <v>0</v>
      </c>
      <c r="J34">
        <f t="shared" si="0"/>
        <v>13320</v>
      </c>
      <c r="K34">
        <f t="shared" si="1"/>
        <v>0</v>
      </c>
      <c r="L34" t="str">
        <f t="shared" si="2"/>
        <v>Low</v>
      </c>
    </row>
    <row r="35" spans="1:12">
      <c r="A35" s="1" t="str">
        <f>PROPER(TRIM(Raw_Data!A35))</f>
        <v>Isaac Kirui</v>
      </c>
      <c r="B35" t="str">
        <f>UPPER(TRIM(Raw_Data!B35))</f>
        <v>FINANCE</v>
      </c>
      <c r="C35" t="str">
        <f>PROPER(TRIM(Raw_Data!C35))</f>
        <v>Printer</v>
      </c>
      <c r="D35" t="str">
        <f>PROPER(TRIM(Raw_Data!D35))</f>
        <v>Eldoret</v>
      </c>
      <c r="E35">
        <f>Raw_Data!E35</f>
        <v>42</v>
      </c>
      <c r="F35">
        <f>Raw_Data!F35</f>
        <v>3</v>
      </c>
      <c r="G35">
        <f>Raw_Data!G35</f>
        <v>550</v>
      </c>
      <c r="H35">
        <f>Raw_Data!H35</f>
        <v>63000</v>
      </c>
      <c r="I35">
        <f>Raw_Data!I35</f>
        <v>13000</v>
      </c>
      <c r="J35">
        <f t="shared" si="0"/>
        <v>23100</v>
      </c>
      <c r="K35">
        <f t="shared" si="1"/>
        <v>2475</v>
      </c>
      <c r="L35" t="str">
        <f t="shared" si="2"/>
        <v>Low</v>
      </c>
    </row>
    <row r="36" spans="1:12">
      <c r="A36" s="1" t="str">
        <f>PROPER(TRIM(Raw_Data!A36))</f>
        <v>Lilian Atieno</v>
      </c>
      <c r="B36" t="str">
        <f>UPPER(TRIM(Raw_Data!B36))</f>
        <v>SALES</v>
      </c>
      <c r="C36" t="str">
        <f>PROPER(TRIM(Raw_Data!C36))</f>
        <v>Phone</v>
      </c>
      <c r="D36" t="str">
        <f>PROPER(TRIM(Raw_Data!D36))</f>
        <v>Kisumu</v>
      </c>
      <c r="E36">
        <f>Raw_Data!E36</f>
        <v>39</v>
      </c>
      <c r="F36">
        <f>Raw_Data!F36</f>
        <v>4</v>
      </c>
      <c r="G36">
        <f>Raw_Data!G36</f>
        <v>480</v>
      </c>
      <c r="H36">
        <f>Raw_Data!H36</f>
        <v>108000</v>
      </c>
      <c r="I36">
        <f>Raw_Data!I36</f>
        <v>23000</v>
      </c>
      <c r="J36">
        <f t="shared" si="0"/>
        <v>18720</v>
      </c>
      <c r="K36">
        <f t="shared" si="1"/>
        <v>2880</v>
      </c>
      <c r="L36" t="str">
        <f t="shared" si="2"/>
        <v>Average</v>
      </c>
    </row>
    <row r="37" spans="1:12">
      <c r="A37" s="1" t="str">
        <f>PROPER(TRIM(Raw_Data!A37))</f>
        <v>Oscar Mutiso</v>
      </c>
      <c r="B37" t="str">
        <f>UPPER(TRIM(Raw_Data!B37))</f>
        <v>MARKETING</v>
      </c>
      <c r="C37" t="str">
        <f>PROPER(TRIM(Raw_Data!C37))</f>
        <v>Tablet</v>
      </c>
      <c r="D37" t="str">
        <f>PROPER(TRIM(Raw_Data!D37))</f>
        <v>Mombasa</v>
      </c>
      <c r="E37">
        <f>Raw_Data!E37</f>
        <v>45</v>
      </c>
      <c r="F37">
        <f>Raw_Data!F37</f>
        <v>6</v>
      </c>
      <c r="G37">
        <f>Raw_Data!G37</f>
        <v>415</v>
      </c>
      <c r="H37">
        <f>Raw_Data!H37</f>
        <v>90000</v>
      </c>
      <c r="I37">
        <f>Raw_Data!I37</f>
        <v>18000</v>
      </c>
      <c r="J37">
        <f t="shared" si="0"/>
        <v>18675</v>
      </c>
      <c r="K37">
        <f t="shared" si="1"/>
        <v>3735</v>
      </c>
      <c r="L37" t="str">
        <f t="shared" si="2"/>
        <v>Low</v>
      </c>
    </row>
    <row r="38" spans="1:12">
      <c r="A38" s="1" t="str">
        <f>PROPER(TRIM(Raw_Data!A38))</f>
        <v>Henry Mwangi</v>
      </c>
      <c r="B38" t="str">
        <f>UPPER(TRIM(Raw_Data!B38))</f>
        <v>IT</v>
      </c>
      <c r="C38" t="str">
        <f>PROPER(TRIM(Raw_Data!C38))</f>
        <v>Laptop</v>
      </c>
      <c r="D38" t="str">
        <f>PROPER(TRIM(Raw_Data!D38))</f>
        <v>Nairobi</v>
      </c>
      <c r="E38">
        <f>Raw_Data!E38</f>
        <v>48</v>
      </c>
      <c r="F38">
        <f>Raw_Data!F38</f>
        <v>12</v>
      </c>
      <c r="G38">
        <f>Raw_Data!G38</f>
        <v>640</v>
      </c>
      <c r="H38">
        <f>Raw_Data!H38</f>
        <v>162000</v>
      </c>
      <c r="I38">
        <f>Raw_Data!I38</f>
        <v>56000</v>
      </c>
      <c r="J38">
        <f t="shared" si="0"/>
        <v>30720</v>
      </c>
      <c r="K38">
        <f t="shared" si="1"/>
        <v>11520</v>
      </c>
      <c r="L38" t="str">
        <f t="shared" si="2"/>
        <v>Top Performer</v>
      </c>
    </row>
    <row r="39" spans="1:12">
      <c r="A39" s="1" t="str">
        <f>PROPER(TRIM(Raw_Data!A39))</f>
        <v>Diana Chebet</v>
      </c>
      <c r="B39" t="str">
        <f>UPPER(TRIM(Raw_Data!B39))</f>
        <v>FINANCE</v>
      </c>
      <c r="C39" t="str">
        <f>PROPER(TRIM(Raw_Data!C39))</f>
        <v>Printer</v>
      </c>
      <c r="D39" t="str">
        <f>PROPER(TRIM(Raw_Data!D39))</f>
        <v>Eldoret</v>
      </c>
      <c r="E39">
        <f>Raw_Data!E39</f>
        <v>40</v>
      </c>
      <c r="F39">
        <f>Raw_Data!F39</f>
        <v>2</v>
      </c>
      <c r="G39">
        <f>Raw_Data!G39</f>
        <v>545</v>
      </c>
      <c r="H39">
        <f>Raw_Data!H39</f>
        <v>60000</v>
      </c>
      <c r="I39">
        <f>Raw_Data!I39</f>
        <v>11000</v>
      </c>
      <c r="J39">
        <f t="shared" si="0"/>
        <v>21800</v>
      </c>
      <c r="K39">
        <f t="shared" si="1"/>
        <v>1635</v>
      </c>
      <c r="L39" t="str">
        <f t="shared" si="2"/>
        <v>Low</v>
      </c>
    </row>
    <row r="40" spans="1:12">
      <c r="A40" s="1" t="str">
        <f>PROPER(TRIM(Raw_Data!A40))</f>
        <v>Martin Kiptoo</v>
      </c>
      <c r="B40" t="str">
        <f>UPPER(TRIM(Raw_Data!B40))</f>
        <v>SALES</v>
      </c>
      <c r="C40" t="str">
        <f>PROPER(TRIM(Raw_Data!C40))</f>
        <v>Phone</v>
      </c>
      <c r="D40" t="str">
        <f>PROPER(TRIM(Raw_Data!D40))</f>
        <v>Kisumu</v>
      </c>
      <c r="E40">
        <f>Raw_Data!E40</f>
        <v>41</v>
      </c>
      <c r="F40">
        <f>Raw_Data!F40</f>
        <v>5</v>
      </c>
      <c r="G40">
        <f>Raw_Data!G40</f>
        <v>505</v>
      </c>
      <c r="H40">
        <f>Raw_Data!H40</f>
        <v>117000</v>
      </c>
      <c r="I40">
        <f>Raw_Data!I40</f>
        <v>26000</v>
      </c>
      <c r="J40">
        <f t="shared" si="0"/>
        <v>20705</v>
      </c>
      <c r="K40">
        <f t="shared" si="1"/>
        <v>3787.5</v>
      </c>
      <c r="L40" t="str">
        <f t="shared" si="2"/>
        <v>Average</v>
      </c>
    </row>
    <row r="41" spans="1:12">
      <c r="A41" s="1" t="str">
        <f>PROPER(TRIM(Raw_Data!A41))</f>
        <v>Brenda Wanjiru</v>
      </c>
      <c r="B41" t="str">
        <f>UPPER(TRIM(Raw_Data!B41))</f>
        <v>MARKETING</v>
      </c>
      <c r="C41" t="str">
        <f>PROPER(TRIM(Raw_Data!C41))</f>
        <v>Tablet</v>
      </c>
      <c r="D41" t="str">
        <f>PROPER(TRIM(Raw_Data!D41))</f>
        <v>Mombasa</v>
      </c>
      <c r="E41">
        <f>Raw_Data!E41</f>
        <v>42</v>
      </c>
      <c r="F41">
        <f>Raw_Data!F41</f>
        <v>6</v>
      </c>
      <c r="G41">
        <f>Raw_Data!G41</f>
        <v>425</v>
      </c>
      <c r="H41">
        <f>Raw_Data!H41</f>
        <v>95000</v>
      </c>
      <c r="I41">
        <f>Raw_Data!I41</f>
        <v>21000</v>
      </c>
      <c r="J41">
        <f t="shared" si="0"/>
        <v>17850</v>
      </c>
      <c r="K41">
        <f t="shared" si="1"/>
        <v>3825</v>
      </c>
      <c r="L41" t="str">
        <f t="shared" si="2"/>
        <v>Average</v>
      </c>
    </row>
    <row r="42" spans="1:12">
      <c r="A42" s="1" t="str">
        <f>PROPER(TRIM(Raw_Data!A42))</f>
        <v>Charles Mutua</v>
      </c>
      <c r="B42" t="str">
        <f>UPPER(TRIM(Raw_Data!B42))</f>
        <v>IT</v>
      </c>
      <c r="C42" t="str">
        <f>PROPER(TRIM(Raw_Data!C42))</f>
        <v>Laptop</v>
      </c>
      <c r="D42" t="str">
        <f>PROPER(TRIM(Raw_Data!D42))</f>
        <v>Nairobi</v>
      </c>
      <c r="E42">
        <f>Raw_Data!E42</f>
        <v>47</v>
      </c>
      <c r="F42">
        <f>Raw_Data!F42</f>
        <v>11</v>
      </c>
      <c r="G42">
        <f>Raw_Data!G42</f>
        <v>630</v>
      </c>
      <c r="H42">
        <f>Raw_Data!H42</f>
        <v>158000</v>
      </c>
      <c r="I42">
        <f>Raw_Data!I42</f>
        <v>54000</v>
      </c>
      <c r="J42">
        <f t="shared" si="0"/>
        <v>29610</v>
      </c>
      <c r="K42">
        <f t="shared" si="1"/>
        <v>10395</v>
      </c>
      <c r="L42" t="str">
        <f t="shared" si="2"/>
        <v>Top Performer</v>
      </c>
    </row>
    <row r="43" spans="1:12">
      <c r="A43" s="1" t="str">
        <f>PROPER(TRIM(Raw_Data!A43))</f>
        <v>Edith Njeri</v>
      </c>
      <c r="B43" t="str">
        <f>UPPER(TRIM(Raw_Data!B43))</f>
        <v>HR</v>
      </c>
      <c r="C43" t="str">
        <f>PROPER(TRIM(Raw_Data!C43))</f>
        <v>None</v>
      </c>
      <c r="D43" t="str">
        <f>PROPER(TRIM(Raw_Data!D43))</f>
        <v>Nakuru</v>
      </c>
      <c r="E43">
        <f>Raw_Data!E43</f>
        <v>36</v>
      </c>
      <c r="F43">
        <f>Raw_Data!F43</f>
        <v>0</v>
      </c>
      <c r="G43">
        <f>Raw_Data!G43</f>
        <v>350</v>
      </c>
      <c r="H43">
        <f>Raw_Data!H43</f>
        <v>0</v>
      </c>
      <c r="I43">
        <f>Raw_Data!I43</f>
        <v>0</v>
      </c>
      <c r="J43">
        <f t="shared" si="0"/>
        <v>12600</v>
      </c>
      <c r="K43">
        <f t="shared" si="1"/>
        <v>0</v>
      </c>
      <c r="L43" t="str">
        <f t="shared" si="2"/>
        <v>Low</v>
      </c>
    </row>
    <row r="44" spans="1:12">
      <c r="A44" s="1" t="str">
        <f>PROPER(TRIM(Raw_Data!A44))</f>
        <v>Kelvin Kirui</v>
      </c>
      <c r="B44" t="str">
        <f>UPPER(TRIM(Raw_Data!B44))</f>
        <v>FINANCE</v>
      </c>
      <c r="C44" t="str">
        <f>PROPER(TRIM(Raw_Data!C44))</f>
        <v>Printer</v>
      </c>
      <c r="D44" t="str">
        <f>PROPER(TRIM(Raw_Data!D44))</f>
        <v>Eldoret</v>
      </c>
      <c r="E44">
        <f>Raw_Data!E44</f>
        <v>41</v>
      </c>
      <c r="F44">
        <f>Raw_Data!F44</f>
        <v>3</v>
      </c>
      <c r="G44">
        <f>Raw_Data!G44</f>
        <v>555</v>
      </c>
      <c r="H44">
        <f>Raw_Data!H44</f>
        <v>64000</v>
      </c>
      <c r="I44">
        <f>Raw_Data!I44</f>
        <v>14000</v>
      </c>
      <c r="J44">
        <f t="shared" si="0"/>
        <v>22755</v>
      </c>
      <c r="K44">
        <f t="shared" si="1"/>
        <v>2497.5</v>
      </c>
      <c r="L44" t="str">
        <f t="shared" si="2"/>
        <v>Low</v>
      </c>
    </row>
    <row r="45" spans="1:12">
      <c r="A45" s="1" t="str">
        <f>PROPER(TRIM(Raw_Data!A45))</f>
        <v>Purity Atieno</v>
      </c>
      <c r="B45" t="str">
        <f>UPPER(TRIM(Raw_Data!B45))</f>
        <v>SALES</v>
      </c>
      <c r="C45" t="str">
        <f>PROPER(TRIM(Raw_Data!C45))</f>
        <v>Phone</v>
      </c>
      <c r="D45" t="str">
        <f>PROPER(TRIM(Raw_Data!D45))</f>
        <v>Kisumu</v>
      </c>
      <c r="E45">
        <f>Raw_Data!E45</f>
        <v>38</v>
      </c>
      <c r="F45">
        <f>Raw_Data!F45</f>
        <v>3</v>
      </c>
      <c r="G45">
        <f>Raw_Data!G45</f>
        <v>475</v>
      </c>
      <c r="H45">
        <f>Raw_Data!H45</f>
        <v>102000</v>
      </c>
      <c r="I45">
        <f>Raw_Data!I45</f>
        <v>22000</v>
      </c>
      <c r="J45">
        <f t="shared" si="0"/>
        <v>18050</v>
      </c>
      <c r="K45">
        <f t="shared" si="1"/>
        <v>2137.5</v>
      </c>
      <c r="L45" t="str">
        <f t="shared" si="2"/>
        <v>Average</v>
      </c>
    </row>
    <row r="46" spans="1:12">
      <c r="A46" s="1" t="str">
        <f>PROPER(TRIM(Raw_Data!A46))</f>
        <v>Dan Mwangi</v>
      </c>
      <c r="B46" t="str">
        <f>UPPER(TRIM(Raw_Data!B46))</f>
        <v>MARKETING</v>
      </c>
      <c r="C46" t="str">
        <f>PROPER(TRIM(Raw_Data!C46))</f>
        <v>Tablet</v>
      </c>
      <c r="D46" t="str">
        <f>PROPER(TRIM(Raw_Data!D46))</f>
        <v>Mombasa</v>
      </c>
      <c r="E46">
        <f>Raw_Data!E46</f>
        <v>44</v>
      </c>
      <c r="F46">
        <f>Raw_Data!F46</f>
        <v>7</v>
      </c>
      <c r="G46">
        <f>Raw_Data!G46</f>
        <v>420</v>
      </c>
      <c r="H46">
        <f>Raw_Data!H46</f>
        <v>93000</v>
      </c>
      <c r="I46">
        <f>Raw_Data!I46</f>
        <v>19000</v>
      </c>
      <c r="J46">
        <f t="shared" si="0"/>
        <v>18480</v>
      </c>
      <c r="K46">
        <f t="shared" si="1"/>
        <v>4410</v>
      </c>
      <c r="L46" t="str">
        <f t="shared" si="2"/>
        <v>Average</v>
      </c>
    </row>
    <row r="47" spans="1:12">
      <c r="A47" s="1" t="str">
        <f>PROPER(TRIM(Raw_Data!A47))</f>
        <v>Samson Mutiso</v>
      </c>
      <c r="B47" t="str">
        <f>UPPER(TRIM(Raw_Data!B47))</f>
        <v>IT</v>
      </c>
      <c r="C47" t="str">
        <f>PROPER(TRIM(Raw_Data!C47))</f>
        <v>Laptop</v>
      </c>
      <c r="D47" t="str">
        <f>PROPER(TRIM(Raw_Data!D47))</f>
        <v>Nairobi</v>
      </c>
      <c r="E47">
        <f>Raw_Data!E47</f>
        <v>45</v>
      </c>
      <c r="F47">
        <f>Raw_Data!F47</f>
        <v>10</v>
      </c>
      <c r="G47">
        <f>Raw_Data!G47</f>
        <v>620</v>
      </c>
      <c r="H47">
        <f>Raw_Data!H47</f>
        <v>149000</v>
      </c>
      <c r="I47">
        <f>Raw_Data!I47</f>
        <v>49000</v>
      </c>
      <c r="J47">
        <f t="shared" si="0"/>
        <v>27900</v>
      </c>
      <c r="K47">
        <f t="shared" si="1"/>
        <v>9300</v>
      </c>
      <c r="L47" t="str">
        <f t="shared" si="2"/>
        <v>Top Performer</v>
      </c>
    </row>
    <row r="48" spans="1:12">
      <c r="A48" s="1" t="str">
        <f>PROPER(TRIM(Raw_Data!A48))</f>
        <v>Rachel Chebet</v>
      </c>
      <c r="B48" t="str">
        <f>UPPER(TRIM(Raw_Data!B48))</f>
        <v>FINANCE</v>
      </c>
      <c r="C48" t="str">
        <f>PROPER(TRIM(Raw_Data!C48))</f>
        <v>Printer</v>
      </c>
      <c r="D48" t="str">
        <f>PROPER(TRIM(Raw_Data!D48))</f>
        <v>Eldoret</v>
      </c>
      <c r="E48">
        <f>Raw_Data!E48</f>
        <v>39</v>
      </c>
      <c r="F48">
        <f>Raw_Data!F48</f>
        <v>2</v>
      </c>
      <c r="G48">
        <f>Raw_Data!G48</f>
        <v>540</v>
      </c>
      <c r="H48">
        <f>Raw_Data!H48</f>
        <v>61000</v>
      </c>
      <c r="I48">
        <f>Raw_Data!I48</f>
        <v>11500</v>
      </c>
      <c r="J48">
        <f t="shared" si="0"/>
        <v>21060</v>
      </c>
      <c r="K48">
        <f t="shared" si="1"/>
        <v>1620</v>
      </c>
      <c r="L48" t="str">
        <f t="shared" si="2"/>
        <v>Low</v>
      </c>
    </row>
    <row r="49" spans="1:12">
      <c r="A49" s="1" t="str">
        <f>PROPER(TRIM(Raw_Data!A49))</f>
        <v>Allan Kiptoo</v>
      </c>
      <c r="B49" t="str">
        <f>UPPER(TRIM(Raw_Data!B49))</f>
        <v>SALES</v>
      </c>
      <c r="C49" t="str">
        <f>PROPER(TRIM(Raw_Data!C49))</f>
        <v>Phone</v>
      </c>
      <c r="D49" t="str">
        <f>PROPER(TRIM(Raw_Data!D49))</f>
        <v>Kisumu</v>
      </c>
      <c r="E49">
        <f>Raw_Data!E49</f>
        <v>40</v>
      </c>
      <c r="F49">
        <f>Raw_Data!F49</f>
        <v>4</v>
      </c>
      <c r="G49">
        <f>Raw_Data!G49</f>
        <v>500</v>
      </c>
      <c r="H49">
        <f>Raw_Data!H49</f>
        <v>116000</v>
      </c>
      <c r="I49">
        <f>Raw_Data!I49</f>
        <v>25000</v>
      </c>
      <c r="J49">
        <f t="shared" si="0"/>
        <v>20000</v>
      </c>
      <c r="K49">
        <f t="shared" si="1"/>
        <v>3000</v>
      </c>
      <c r="L49" t="str">
        <f t="shared" si="2"/>
        <v>Average</v>
      </c>
    </row>
    <row r="50" spans="1:12">
      <c r="A50" s="1" t="str">
        <f>PROPER(TRIM(Raw_Data!A50))</f>
        <v>Ivy Wanjiru</v>
      </c>
      <c r="B50" t="str">
        <f>UPPER(TRIM(Raw_Data!B50))</f>
        <v>MARKETING</v>
      </c>
      <c r="C50" t="str">
        <f>PROPER(TRIM(Raw_Data!C50))</f>
        <v>Tablet</v>
      </c>
      <c r="D50" t="str">
        <f>PROPER(TRIM(Raw_Data!D50))</f>
        <v>Mombasa</v>
      </c>
      <c r="E50">
        <f>Raw_Data!E50</f>
        <v>43</v>
      </c>
      <c r="F50">
        <f>Raw_Data!F50</f>
        <v>6</v>
      </c>
      <c r="G50">
        <f>Raw_Data!G50</f>
        <v>430</v>
      </c>
      <c r="H50">
        <f>Raw_Data!H50</f>
        <v>96000</v>
      </c>
      <c r="I50">
        <f>Raw_Data!I50</f>
        <v>22000</v>
      </c>
      <c r="J50">
        <f t="shared" si="0"/>
        <v>18490</v>
      </c>
      <c r="K50">
        <f t="shared" si="1"/>
        <v>3870</v>
      </c>
      <c r="L50" t="str">
        <f t="shared" si="2"/>
        <v>Average</v>
      </c>
    </row>
    <row r="51" spans="1:12">
      <c r="A51" s="1" t="str">
        <f>PROPER(TRIM(Raw_Data!A51))</f>
        <v>Brian Mwangi</v>
      </c>
      <c r="B51" t="str">
        <f>UPPER(TRIM(Raw_Data!B51))</f>
        <v>IT</v>
      </c>
      <c r="C51" t="str">
        <f>PROPER(TRIM(Raw_Data!C51))</f>
        <v>Laptop</v>
      </c>
      <c r="D51" t="str">
        <f>PROPER(TRIM(Raw_Data!D51))</f>
        <v>Nairobi</v>
      </c>
      <c r="E51">
        <f>Raw_Data!E51</f>
        <v>46</v>
      </c>
      <c r="F51">
        <f>Raw_Data!F51</f>
        <v>9</v>
      </c>
      <c r="G51">
        <f>Raw_Data!G51</f>
        <v>610</v>
      </c>
      <c r="H51">
        <f>Raw_Data!H51</f>
        <v>151000</v>
      </c>
      <c r="I51">
        <f>Raw_Data!I51</f>
        <v>50000</v>
      </c>
      <c r="J51">
        <f t="shared" si="0"/>
        <v>28060</v>
      </c>
      <c r="K51">
        <f t="shared" si="1"/>
        <v>8235</v>
      </c>
      <c r="L51" t="str">
        <f t="shared" si="2"/>
        <v>Top Performer</v>
      </c>
    </row>
    <row r="52" spans="1:12">
      <c r="A52" s="1" t="str">
        <f>PROPER(TRIM(Raw_Data!A52))</f>
        <v>Joyce Njeri</v>
      </c>
      <c r="B52" t="str">
        <f>UPPER(TRIM(Raw_Data!B52))</f>
        <v>HR</v>
      </c>
      <c r="C52" t="str">
        <f>PROPER(TRIM(Raw_Data!C52))</f>
        <v>None</v>
      </c>
      <c r="D52" t="str">
        <f>PROPER(TRIM(Raw_Data!D52))</f>
        <v>Nakuru</v>
      </c>
      <c r="E52">
        <f>Raw_Data!E52</f>
        <v>35</v>
      </c>
      <c r="F52">
        <f>Raw_Data!F52</f>
        <v>0</v>
      </c>
      <c r="G52">
        <f>Raw_Data!G52</f>
        <v>350</v>
      </c>
      <c r="H52">
        <f>Raw_Data!H52</f>
        <v>0</v>
      </c>
      <c r="I52">
        <f>Raw_Data!I52</f>
        <v>0</v>
      </c>
      <c r="J52">
        <f t="shared" si="0"/>
        <v>12250</v>
      </c>
      <c r="K52">
        <f t="shared" si="1"/>
        <v>0</v>
      </c>
      <c r="L52" t="str">
        <f t="shared" si="2"/>
        <v>Low</v>
      </c>
    </row>
    <row r="53" spans="1:12">
      <c r="A53" s="1" t="str">
        <f>PROPER(TRIM(Raw_Data!A53))</f>
        <v>Moses Kirui</v>
      </c>
      <c r="B53" t="str">
        <f>UPPER(TRIM(Raw_Data!B53))</f>
        <v>FINANCE</v>
      </c>
      <c r="C53" t="str">
        <f>PROPER(TRIM(Raw_Data!C53))</f>
        <v>Printer</v>
      </c>
      <c r="D53" t="str">
        <f>PROPER(TRIM(Raw_Data!D53))</f>
        <v>Eldoret</v>
      </c>
      <c r="E53">
        <f>Raw_Data!E53</f>
        <v>42</v>
      </c>
      <c r="F53">
        <f>Raw_Data!F53</f>
        <v>3</v>
      </c>
      <c r="G53">
        <f>Raw_Data!G53</f>
        <v>560</v>
      </c>
      <c r="H53">
        <f>Raw_Data!H53</f>
        <v>65000</v>
      </c>
      <c r="I53">
        <f>Raw_Data!I53</f>
        <v>15000</v>
      </c>
      <c r="J53">
        <f t="shared" si="0"/>
        <v>23520</v>
      </c>
      <c r="K53">
        <f t="shared" si="1"/>
        <v>2520</v>
      </c>
      <c r="L53" t="str">
        <f t="shared" si="2"/>
        <v>Low</v>
      </c>
    </row>
    <row r="54" spans="1:12">
      <c r="A54" s="1" t="str">
        <f>PROPER(TRIM(Raw_Data!A54))</f>
        <v>Luke Atieno</v>
      </c>
      <c r="B54" t="str">
        <f>UPPER(TRIM(Raw_Data!B54))</f>
        <v>SALES</v>
      </c>
      <c r="C54" t="str">
        <f>PROPER(TRIM(Raw_Data!C54))</f>
        <v>Phone</v>
      </c>
      <c r="D54" t="str">
        <f>PROPER(TRIM(Raw_Data!D54))</f>
        <v>Kisumu</v>
      </c>
      <c r="E54">
        <f>Raw_Data!E54</f>
        <v>39</v>
      </c>
      <c r="F54">
        <f>Raw_Data!F54</f>
        <v>2</v>
      </c>
      <c r="G54">
        <f>Raw_Data!G54</f>
        <v>480</v>
      </c>
      <c r="H54">
        <f>Raw_Data!H54</f>
        <v>104000</v>
      </c>
      <c r="I54">
        <f>Raw_Data!I54</f>
        <v>21000</v>
      </c>
      <c r="J54">
        <f t="shared" si="0"/>
        <v>18720</v>
      </c>
      <c r="K54">
        <f t="shared" si="1"/>
        <v>1440</v>
      </c>
      <c r="L54" t="str">
        <f t="shared" si="2"/>
        <v>Average</v>
      </c>
    </row>
    <row r="55" spans="1:12">
      <c r="A55" s="1" t="str">
        <f>PROPER(TRIM(Raw_Data!A55))</f>
        <v>Frank Mutiso</v>
      </c>
      <c r="B55" t="str">
        <f>UPPER(TRIM(Raw_Data!B55))</f>
        <v>MARKETING</v>
      </c>
      <c r="C55" t="str">
        <f>PROPER(TRIM(Raw_Data!C55))</f>
        <v>Tablet</v>
      </c>
      <c r="D55" t="str">
        <f>PROPER(TRIM(Raw_Data!D55))</f>
        <v>Mombasa</v>
      </c>
      <c r="E55">
        <f>Raw_Data!E55</f>
        <v>44</v>
      </c>
      <c r="F55">
        <f>Raw_Data!F55</f>
        <v>5</v>
      </c>
      <c r="G55">
        <f>Raw_Data!G55</f>
        <v>415</v>
      </c>
      <c r="H55">
        <f>Raw_Data!H55</f>
        <v>91000</v>
      </c>
      <c r="I55">
        <f>Raw_Data!I55</f>
        <v>17500</v>
      </c>
      <c r="J55">
        <f t="shared" si="0"/>
        <v>18260</v>
      </c>
      <c r="K55">
        <f t="shared" si="1"/>
        <v>3112.5</v>
      </c>
      <c r="L55" t="str">
        <f t="shared" si="2"/>
        <v>Average</v>
      </c>
    </row>
    <row r="56" spans="1:12">
      <c r="A56" s="1" t="str">
        <f>PROPER(TRIM(Raw_Data!A56))</f>
        <v>Daniel Mwangi</v>
      </c>
      <c r="B56" t="str">
        <f>UPPER(TRIM(Raw_Data!B56))</f>
        <v>IT</v>
      </c>
      <c r="C56" t="str">
        <f>PROPER(TRIM(Raw_Data!C56))</f>
        <v>Laptop</v>
      </c>
      <c r="D56" t="str">
        <f>PROPER(TRIM(Raw_Data!D56))</f>
        <v>Nairobi</v>
      </c>
      <c r="E56">
        <f>Raw_Data!E56</f>
        <v>47</v>
      </c>
      <c r="F56">
        <f>Raw_Data!F56</f>
        <v>10</v>
      </c>
      <c r="G56">
        <f>Raw_Data!G56</f>
        <v>630</v>
      </c>
      <c r="H56">
        <f>Raw_Data!H56</f>
        <v>159000</v>
      </c>
      <c r="I56">
        <f>Raw_Data!I56</f>
        <v>53000</v>
      </c>
      <c r="J56">
        <f t="shared" si="0"/>
        <v>29610</v>
      </c>
      <c r="K56">
        <f t="shared" si="1"/>
        <v>9450</v>
      </c>
      <c r="L56" t="str">
        <f t="shared" si="2"/>
        <v>Top Performer</v>
      </c>
    </row>
    <row r="57" spans="1:12">
      <c r="A57" s="1" t="str">
        <f>PROPER(TRIM(Raw_Data!A58))</f>
        <v/>
      </c>
    </row>
    <row r="58" spans="1:12">
      <c r="A58" s="1" t="str">
        <f>PROPER(TRIM(Raw_Data!A59))</f>
        <v/>
      </c>
    </row>
    <row r="59" spans="1:12">
      <c r="A59" s="1" t="str">
        <f>PROPER(TRIM(Raw_Data!A60))</f>
        <v/>
      </c>
    </row>
    <row r="60" spans="1:12">
      <c r="A60" s="1" t="str">
        <f>PROPER(TRIM(Raw_Data!A61))</f>
        <v/>
      </c>
    </row>
    <row r="61" spans="1:12">
      <c r="A61" s="1" t="str">
        <f>PROPER(TRIM(Raw_Data!A62))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08F2-C630-4A2A-839F-F6E32BC1EBC1}">
  <dimension ref="A3:J9"/>
  <sheetViews>
    <sheetView workbookViewId="0">
      <selection activeCell="B3" sqref="B3"/>
    </sheetView>
  </sheetViews>
  <sheetFormatPr defaultRowHeight="15"/>
  <cols>
    <col min="1" max="1" width="14.85546875" bestFit="1" customWidth="1"/>
    <col min="2" max="2" width="12.140625" bestFit="1" customWidth="1"/>
    <col min="5" max="5" width="11.42578125" bestFit="1" customWidth="1"/>
    <col min="6" max="6" width="12.5703125" bestFit="1" customWidth="1"/>
    <col min="9" max="9" width="11.42578125" bestFit="1" customWidth="1"/>
    <col min="10" max="10" width="12.140625" bestFit="1" customWidth="1"/>
  </cols>
  <sheetData>
    <row r="3" spans="1:10">
      <c r="A3" s="4" t="s">
        <v>1</v>
      </c>
      <c r="B3" t="s">
        <v>95</v>
      </c>
      <c r="E3" s="4" t="s">
        <v>2</v>
      </c>
      <c r="F3" t="s">
        <v>96</v>
      </c>
      <c r="I3" s="4" t="s">
        <v>3</v>
      </c>
      <c r="J3" t="s">
        <v>95</v>
      </c>
    </row>
    <row r="4" spans="1:10">
      <c r="A4" t="s">
        <v>97</v>
      </c>
      <c r="B4" s="5">
        <v>1435000</v>
      </c>
      <c r="E4" t="s">
        <v>26</v>
      </c>
      <c r="F4" s="5">
        <v>625000</v>
      </c>
      <c r="I4" t="s">
        <v>30</v>
      </c>
      <c r="J4" s="5">
        <v>613000</v>
      </c>
    </row>
    <row r="5" spans="1:10">
      <c r="A5" t="s">
        <v>98</v>
      </c>
      <c r="B5" s="5">
        <v>1099000</v>
      </c>
      <c r="E5" t="s">
        <v>40</v>
      </c>
      <c r="F5" s="5">
        <v>0</v>
      </c>
      <c r="I5" t="s">
        <v>47</v>
      </c>
      <c r="J5" s="5">
        <v>1095000</v>
      </c>
    </row>
    <row r="6" spans="1:10">
      <c r="A6" t="s">
        <v>25</v>
      </c>
      <c r="B6" s="5">
        <v>1826000</v>
      </c>
      <c r="E6" t="s">
        <v>14</v>
      </c>
      <c r="F6" s="5">
        <v>274000</v>
      </c>
      <c r="I6" t="s">
        <v>36</v>
      </c>
      <c r="J6" s="5">
        <v>1099000</v>
      </c>
    </row>
    <row r="7" spans="1:10">
      <c r="A7" t="s">
        <v>21</v>
      </c>
      <c r="B7" s="5">
        <v>0</v>
      </c>
      <c r="E7" t="s">
        <v>44</v>
      </c>
      <c r="F7" s="5">
        <v>116500</v>
      </c>
      <c r="I7" t="s">
        <v>38</v>
      </c>
      <c r="J7" s="5">
        <v>2166000</v>
      </c>
    </row>
    <row r="8" spans="1:10">
      <c r="A8" t="s">
        <v>99</v>
      </c>
      <c r="B8" s="5">
        <v>613000</v>
      </c>
      <c r="E8" t="s">
        <v>35</v>
      </c>
      <c r="F8" s="5">
        <v>248500</v>
      </c>
      <c r="I8" t="s">
        <v>23</v>
      </c>
      <c r="J8" s="5">
        <v>0</v>
      </c>
    </row>
    <row r="9" spans="1:10">
      <c r="A9" t="s">
        <v>100</v>
      </c>
      <c r="B9" s="5">
        <v>4973000</v>
      </c>
      <c r="E9" t="s">
        <v>100</v>
      </c>
      <c r="F9" s="5">
        <v>1264000</v>
      </c>
      <c r="I9" t="s">
        <v>100</v>
      </c>
      <c r="J9" s="5">
        <v>4973000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C38C-341B-4150-97D0-09A95B075996}">
  <dimension ref="A1:G4"/>
  <sheetViews>
    <sheetView tabSelected="1" workbookViewId="0">
      <selection activeCell="I2" sqref="I2"/>
    </sheetView>
  </sheetViews>
  <sheetFormatPr defaultRowHeight="15"/>
  <cols>
    <col min="1" max="1" width="24" bestFit="1" customWidth="1"/>
    <col min="3" max="3" width="18.140625" bestFit="1" customWidth="1"/>
    <col min="5" max="5" width="15.140625" bestFit="1" customWidth="1"/>
    <col min="7" max="7" width="15.7109375" bestFit="1" customWidth="1"/>
  </cols>
  <sheetData>
    <row r="1" spans="1:7" ht="21">
      <c r="C1" s="9" t="s">
        <v>101</v>
      </c>
    </row>
    <row r="2" spans="1:7" ht="18.75">
      <c r="A2" s="6" t="s">
        <v>102</v>
      </c>
      <c r="B2" s="6"/>
      <c r="C2" s="6" t="s">
        <v>103</v>
      </c>
      <c r="D2" s="6"/>
      <c r="E2" s="6" t="s">
        <v>104</v>
      </c>
      <c r="F2" s="6"/>
      <c r="G2" s="6" t="s">
        <v>105</v>
      </c>
    </row>
    <row r="3" spans="1:7" ht="18.75">
      <c r="A3" s="8">
        <f>SUM(Clean_Data_Analysis!H:H)</f>
        <v>4973000</v>
      </c>
      <c r="B3" s="8"/>
      <c r="C3" s="8">
        <f>SUM(Clean_Data_Analysis!I:I)</f>
        <v>1264000</v>
      </c>
      <c r="D3" s="7"/>
      <c r="E3" s="7">
        <f>COUNTA(Clean_Data_Analysis!A:A)-1</f>
        <v>60</v>
      </c>
      <c r="F3" s="7"/>
      <c r="G3" s="7" t="s">
        <v>25</v>
      </c>
    </row>
    <row r="4" spans="1:7" ht="18.75">
      <c r="A4" s="7"/>
      <c r="B4" s="7"/>
      <c r="C4" s="7"/>
      <c r="D4" s="7"/>
      <c r="E4" s="7"/>
      <c r="F4" s="7"/>
      <c r="G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2026-04-22T19:28:01Z</dcterms:created>
  <dcterms:modified xsi:type="dcterms:W3CDTF">2026-04-22T21:28:16Z</dcterms:modified>
  <cp:category/>
  <cp:contentStatus/>
</cp:coreProperties>
</file>